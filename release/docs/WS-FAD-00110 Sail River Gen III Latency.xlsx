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igcatwireless.sharepoint.com/sites/IN-SR-RF/Shared Documents/Development/Gen3/"/>
    </mc:Choice>
  </mc:AlternateContent>
  <xr:revisionPtr revIDLastSave="6310" documentId="8_{12A3846B-4A43-4135-B475-453F7C1659A5}" xr6:coauthVersionLast="47" xr6:coauthVersionMax="47" xr10:uidLastSave="{ADC4A203-DF9D-42AE-86EF-86384C496A50}"/>
  <bookViews>
    <workbookView xWindow="-120" yWindow="-120" windowWidth="29040" windowHeight="15840" tabRatio="946" firstSheet="5" activeTab="4" xr2:uid="{8284D814-19E2-4A08-ABE3-9FCA26D04B1B}"/>
  </bookViews>
  <sheets>
    <sheet name="Version" sheetId="8" r:id="rId1"/>
    <sheet name="DL_Latency_bk" sheetId="10" state="hidden" r:id="rId2"/>
    <sheet name="DL_Latency_100_Mhz" sheetId="22" r:id="rId3"/>
    <sheet name="UL_Latency_100_Mhz" sheetId="23" r:id="rId4"/>
    <sheet name="HW_DL" sheetId="33" r:id="rId5"/>
    <sheet name="HW_UL" sheetId="34" r:id="rId6"/>
    <sheet name="DL_Latency" sheetId="1" state="hidden" r:id="rId7"/>
    <sheet name="UL_Latency_bk" sheetId="12" state="hidden" r:id="rId8"/>
    <sheet name="UL_Latency" sheetId="7" state="hidden" r:id="rId9"/>
    <sheet name="DL_Latency_5_10_20" sheetId="16" state="hidden" r:id="rId10"/>
    <sheet name="UL_Latency_5_10_20" sheetId="17" state="hidden" r:id="rId11"/>
    <sheet name="PRACH_Latency_100Mhz" sheetId="28" state="hidden" r:id="rId12"/>
    <sheet name="PRACH_LF_Latency" sheetId="29" r:id="rId13"/>
    <sheet name="DL_Latency_60_Mhz " sheetId="30" r:id="rId14"/>
    <sheet name="UL_Latency_60_Mhz" sheetId="31" r:id="rId15"/>
    <sheet name="DL_Latency_36AxC" sheetId="20" state="hidden" r:id="rId16"/>
    <sheet name="Ethernet Latency" sheetId="9" state="hidden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3" l="1"/>
  <c r="C6" i="23"/>
  <c r="C5" i="23"/>
  <c r="C4" i="23"/>
  <c r="C16" i="23"/>
  <c r="C15" i="23"/>
  <c r="D14" i="23"/>
  <c r="C14" i="23"/>
  <c r="C12" i="23"/>
  <c r="C11" i="23"/>
  <c r="C10" i="23"/>
  <c r="D9" i="23"/>
  <c r="C9" i="23"/>
  <c r="D8" i="23"/>
  <c r="C8" i="23"/>
  <c r="C26" i="22"/>
  <c r="C25" i="22"/>
  <c r="D24" i="22"/>
  <c r="C24" i="22"/>
  <c r="C23" i="22"/>
  <c r="C22" i="22"/>
  <c r="C21" i="22"/>
  <c r="D20" i="22"/>
  <c r="C20" i="22"/>
  <c r="D19" i="22"/>
  <c r="C19" i="22"/>
  <c r="D25" i="23"/>
  <c r="C18" i="22"/>
  <c r="C17" i="22"/>
  <c r="C16" i="22"/>
  <c r="D15" i="22"/>
  <c r="C15" i="22"/>
  <c r="C14" i="22"/>
  <c r="C13" i="22"/>
  <c r="C12" i="22"/>
  <c r="C11" i="22"/>
  <c r="C10" i="22"/>
  <c r="D9" i="22"/>
  <c r="D27" i="22" s="1"/>
  <c r="C9" i="22"/>
  <c r="C8" i="22"/>
  <c r="C7" i="22"/>
  <c r="C6" i="22"/>
  <c r="C5" i="22"/>
  <c r="C4" i="22"/>
  <c r="D14" i="33"/>
  <c r="D7" i="34"/>
  <c r="G8" i="23"/>
  <c r="D10" i="34"/>
  <c r="D8" i="34"/>
  <c r="E11" i="34"/>
  <c r="C12" i="34"/>
  <c r="E8" i="34"/>
  <c r="C24" i="23"/>
  <c r="C23" i="23"/>
  <c r="C22" i="23"/>
  <c r="D21" i="23"/>
  <c r="C21" i="23"/>
  <c r="C20" i="23"/>
  <c r="C19" i="23"/>
  <c r="D18" i="23"/>
  <c r="C18" i="23" s="1"/>
  <c r="D16" i="33"/>
  <c r="D18" i="33" s="1"/>
  <c r="E12" i="34" l="1"/>
  <c r="D12" i="34"/>
  <c r="E13" i="34"/>
  <c r="D17" i="23"/>
  <c r="C17" i="23" s="1"/>
  <c r="D13" i="34" l="1"/>
  <c r="C13" i="34" l="1"/>
  <c r="C6" i="30" l="1"/>
  <c r="C5" i="30"/>
  <c r="D25" i="30"/>
  <c r="C17" i="30"/>
  <c r="C4" i="30"/>
  <c r="C8" i="30"/>
  <c r="C4" i="31"/>
  <c r="C7" i="31"/>
  <c r="C17" i="31"/>
  <c r="C9" i="31"/>
  <c r="C8" i="31"/>
  <c r="C15" i="29"/>
  <c r="C14" i="29"/>
  <c r="C6" i="29"/>
  <c r="C5" i="29"/>
  <c r="C4" i="29"/>
  <c r="D24" i="31"/>
  <c r="C14" i="31"/>
  <c r="C16" i="31" l="1"/>
  <c r="C13" i="31"/>
  <c r="C15" i="31"/>
  <c r="C22" i="30"/>
  <c r="D16" i="29"/>
  <c r="C23" i="31" l="1"/>
  <c r="C22" i="31"/>
  <c r="C21" i="31"/>
  <c r="C20" i="31"/>
  <c r="C19" i="31"/>
  <c r="C18" i="31"/>
  <c r="C16" i="30"/>
  <c r="C15" i="30"/>
  <c r="C14" i="30"/>
  <c r="C12" i="31" l="1"/>
  <c r="C11" i="31"/>
  <c r="C10" i="31"/>
  <c r="C6" i="31"/>
  <c r="C5" i="31"/>
  <c r="C24" i="30" l="1"/>
  <c r="C23" i="30"/>
  <c r="C21" i="30"/>
  <c r="C20" i="30"/>
  <c r="C19" i="30"/>
  <c r="C18" i="30"/>
  <c r="C13" i="30"/>
  <c r="C12" i="30"/>
  <c r="C11" i="30"/>
  <c r="C10" i="30"/>
  <c r="C9" i="30"/>
  <c r="C10" i="29"/>
  <c r="C7" i="29"/>
  <c r="C8" i="29" l="1"/>
  <c r="C9" i="29"/>
  <c r="C11" i="29"/>
  <c r="C12" i="29"/>
  <c r="C13" i="29"/>
  <c r="C10" i="28"/>
  <c r="C5" i="28"/>
  <c r="C6" i="28"/>
  <c r="C7" i="28"/>
  <c r="C8" i="28"/>
  <c r="C9" i="28"/>
  <c r="C4" i="28"/>
  <c r="D11" i="28"/>
  <c r="F4" i="10" l="1"/>
  <c r="D5" i="20"/>
  <c r="D4" i="20"/>
  <c r="G4" i="16"/>
  <c r="F4" i="16"/>
  <c r="E4" i="16"/>
  <c r="H4" i="16"/>
  <c r="G7" i="20" l="1"/>
  <c r="G8" i="20"/>
  <c r="F9" i="20"/>
  <c r="J9" i="20" s="1"/>
  <c r="F8" i="20"/>
  <c r="L8" i="20" s="1"/>
  <c r="F7" i="20"/>
  <c r="F6" i="20"/>
  <c r="K6" i="20" s="1"/>
  <c r="F5" i="20"/>
  <c r="L5" i="20" s="1"/>
  <c r="F4" i="20"/>
  <c r="K4" i="20" s="1"/>
  <c r="D9" i="20"/>
  <c r="H9" i="20" s="1"/>
  <c r="D8" i="20"/>
  <c r="D7" i="20"/>
  <c r="I7" i="20" s="1"/>
  <c r="D6" i="20"/>
  <c r="I6" i="20" s="1"/>
  <c r="H5" i="20"/>
  <c r="G4" i="20"/>
  <c r="AE10" i="20"/>
  <c r="AB10" i="20"/>
  <c r="L10" i="20"/>
  <c r="K10" i="20"/>
  <c r="J10" i="20"/>
  <c r="D10" i="20"/>
  <c r="G10" i="20" s="1"/>
  <c r="AC8" i="20"/>
  <c r="AE7" i="20"/>
  <c r="AD7" i="20"/>
  <c r="AB7" i="20"/>
  <c r="I9" i="16"/>
  <c r="G9" i="16"/>
  <c r="F9" i="16"/>
  <c r="E9" i="16"/>
  <c r="D14" i="16"/>
  <c r="J9" i="17"/>
  <c r="I9" i="17"/>
  <c r="H9" i="17"/>
  <c r="J11" i="17"/>
  <c r="I11" i="17"/>
  <c r="H11" i="17"/>
  <c r="J10" i="17"/>
  <c r="I10" i="17"/>
  <c r="H10" i="17"/>
  <c r="J8" i="17"/>
  <c r="I8" i="17"/>
  <c r="H8" i="17"/>
  <c r="J7" i="17"/>
  <c r="I7" i="17"/>
  <c r="H7" i="17"/>
  <c r="J9" i="16"/>
  <c r="H9" i="16"/>
  <c r="J6" i="17"/>
  <c r="I6" i="17"/>
  <c r="H6" i="17"/>
  <c r="J11" i="16"/>
  <c r="I11" i="16"/>
  <c r="H11" i="16"/>
  <c r="J10" i="16"/>
  <c r="I10" i="16"/>
  <c r="H10" i="16"/>
  <c r="J7" i="16"/>
  <c r="I7" i="16"/>
  <c r="H6" i="16"/>
  <c r="H7" i="16"/>
  <c r="AA8" i="16"/>
  <c r="J5" i="17"/>
  <c r="I5" i="17"/>
  <c r="H5" i="17"/>
  <c r="J4" i="17"/>
  <c r="I4" i="17"/>
  <c r="H4" i="17"/>
  <c r="J8" i="16"/>
  <c r="I8" i="16"/>
  <c r="H8" i="16"/>
  <c r="J6" i="16"/>
  <c r="I6" i="16"/>
  <c r="J5" i="16"/>
  <c r="I5" i="16"/>
  <c r="H5" i="16"/>
  <c r="E4" i="1"/>
  <c r="J4" i="16"/>
  <c r="I4" i="16"/>
  <c r="E4" i="17"/>
  <c r="G6" i="20" l="1"/>
  <c r="G5" i="20"/>
  <c r="H7" i="20"/>
  <c r="I5" i="20"/>
  <c r="G9" i="20"/>
  <c r="J5" i="20"/>
  <c r="K5" i="20"/>
  <c r="I9" i="20"/>
  <c r="L9" i="20"/>
  <c r="K9" i="20"/>
  <c r="J8" i="20"/>
  <c r="K8" i="20"/>
  <c r="J6" i="20"/>
  <c r="L6" i="20"/>
  <c r="L4" i="20"/>
  <c r="J4" i="20"/>
  <c r="F13" i="20"/>
  <c r="H8" i="20"/>
  <c r="I8" i="20"/>
  <c r="H6" i="20"/>
  <c r="I4" i="20"/>
  <c r="H4" i="20"/>
  <c r="J7" i="20"/>
  <c r="K7" i="20"/>
  <c r="L7" i="20"/>
  <c r="H10" i="20"/>
  <c r="D13" i="20"/>
  <c r="I10" i="20"/>
  <c r="I14" i="16"/>
  <c r="H14" i="16"/>
  <c r="J14" i="16"/>
  <c r="C10" i="17"/>
  <c r="G10" i="17" s="1"/>
  <c r="C8" i="17"/>
  <c r="G8" i="17" s="1"/>
  <c r="G9" i="17"/>
  <c r="F9" i="17"/>
  <c r="E9" i="17"/>
  <c r="G7" i="17"/>
  <c r="F7" i="17"/>
  <c r="E7" i="17"/>
  <c r="G13" i="17"/>
  <c r="F13" i="17"/>
  <c r="E13" i="17"/>
  <c r="G11" i="17"/>
  <c r="F11" i="17"/>
  <c r="E11" i="17"/>
  <c r="G6" i="17"/>
  <c r="F6" i="17"/>
  <c r="E6" i="17"/>
  <c r="G5" i="17"/>
  <c r="F5" i="17"/>
  <c r="E5" i="17"/>
  <c r="G4" i="17"/>
  <c r="F4" i="17"/>
  <c r="G13" i="16"/>
  <c r="G11" i="16"/>
  <c r="AC10" i="16"/>
  <c r="G8" i="16"/>
  <c r="AC7" i="16"/>
  <c r="G6" i="16"/>
  <c r="G5" i="16"/>
  <c r="F13" i="16"/>
  <c r="F11" i="16"/>
  <c r="Z10" i="16"/>
  <c r="F8" i="16"/>
  <c r="AB7" i="16"/>
  <c r="F6" i="16"/>
  <c r="F5" i="16"/>
  <c r="E5" i="16"/>
  <c r="E13" i="16"/>
  <c r="E11" i="16"/>
  <c r="E8" i="16"/>
  <c r="E6" i="16"/>
  <c r="K13" i="20" l="1"/>
  <c r="J13" i="20"/>
  <c r="L13" i="20"/>
  <c r="G13" i="20"/>
  <c r="I13" i="20"/>
  <c r="H13" i="20"/>
  <c r="G14" i="17"/>
  <c r="E10" i="17"/>
  <c r="F10" i="17"/>
  <c r="F8" i="17"/>
  <c r="F14" i="17" s="1"/>
  <c r="E8" i="17"/>
  <c r="E14" i="17" s="1"/>
  <c r="C14" i="17"/>
  <c r="Z7" i="16"/>
  <c r="C10" i="16"/>
  <c r="E10" i="16" s="1"/>
  <c r="C7" i="16"/>
  <c r="C14" i="16" l="1"/>
  <c r="E7" i="16"/>
  <c r="G10" i="16"/>
  <c r="F10" i="16"/>
  <c r="E14" i="16"/>
  <c r="F14" i="16"/>
  <c r="G7" i="16"/>
  <c r="G14" i="16" s="1"/>
  <c r="F7" i="16"/>
  <c r="E4" i="12" l="1"/>
  <c r="F4" i="12"/>
  <c r="E5" i="12"/>
  <c r="F5" i="12" s="1"/>
  <c r="E6" i="12"/>
  <c r="F6" i="12"/>
  <c r="E7" i="12"/>
  <c r="F7" i="12"/>
  <c r="E8" i="12"/>
  <c r="F8" i="12" s="1"/>
  <c r="E9" i="12"/>
  <c r="F9" i="12" s="1"/>
  <c r="E10" i="12"/>
  <c r="F10" i="12"/>
  <c r="E11" i="12"/>
  <c r="F11" i="12"/>
  <c r="E12" i="12"/>
  <c r="F12" i="12"/>
  <c r="E6" i="10"/>
  <c r="F6" i="10" s="1"/>
  <c r="E7" i="10"/>
  <c r="F7" i="10" s="1"/>
  <c r="F8" i="10"/>
  <c r="F10" i="10"/>
  <c r="E4" i="10"/>
  <c r="E5" i="10"/>
  <c r="F5" i="10" s="1"/>
  <c r="E8" i="10"/>
  <c r="E9" i="10"/>
  <c r="F9" i="10" s="1"/>
  <c r="E10" i="10"/>
  <c r="E11" i="10"/>
  <c r="F11" i="10"/>
  <c r="E12" i="10"/>
  <c r="F12" i="10"/>
  <c r="F13" i="12" l="1"/>
  <c r="F14" i="12" s="1"/>
  <c r="F13" i="10"/>
  <c r="F14" i="10" s="1"/>
  <c r="F14" i="7"/>
  <c r="F13" i="7"/>
  <c r="F5" i="7"/>
  <c r="F6" i="7"/>
  <c r="F7" i="7"/>
  <c r="F8" i="7"/>
  <c r="F9" i="7"/>
  <c r="F10" i="7"/>
  <c r="F11" i="7"/>
  <c r="F12" i="7"/>
  <c r="F4" i="7"/>
  <c r="E12" i="7"/>
  <c r="E11" i="7"/>
  <c r="E10" i="7"/>
  <c r="E9" i="7"/>
  <c r="E8" i="7"/>
  <c r="E7" i="7"/>
  <c r="E6" i="7"/>
  <c r="E5" i="7"/>
  <c r="E4" i="7"/>
  <c r="E5" i="1"/>
  <c r="F5" i="1" s="1"/>
  <c r="F4" i="1"/>
  <c r="E11" i="1" l="1"/>
  <c r="F11" i="1" s="1"/>
  <c r="E6" i="1"/>
  <c r="F6" i="1" s="1"/>
  <c r="E7" i="1"/>
  <c r="F7" i="1" s="1"/>
  <c r="E8" i="1"/>
  <c r="F8" i="1" s="1"/>
  <c r="E9" i="1"/>
  <c r="F9" i="1" s="1"/>
  <c r="E10" i="1"/>
  <c r="F10" i="1" s="1"/>
  <c r="E12" i="1"/>
  <c r="F12" i="1" s="1"/>
  <c r="F13" i="1" l="1"/>
  <c r="F14" i="1" s="1"/>
  <c r="C7" i="30" l="1"/>
</calcChain>
</file>

<file path=xl/sharedStrings.xml><?xml version="1.0" encoding="utf-8"?>
<sst xmlns="http://schemas.openxmlformats.org/spreadsheetml/2006/main" count="433" uniqueCount="165">
  <si>
    <t>Version Number</t>
  </si>
  <si>
    <t>Version Date</t>
  </si>
  <si>
    <t>Summary &amp; Comments</t>
  </si>
  <si>
    <t>Authors</t>
  </si>
  <si>
    <t>v1.0.0</t>
  </si>
  <si>
    <t xml:space="preserve">Added DL and UL Latency for Simulation and HW </t>
  </si>
  <si>
    <t>v1.0.1</t>
  </si>
  <si>
    <t xml:space="preserve">Updated HW DL and UL Latency </t>
  </si>
  <si>
    <t>Downlink </t>
  </si>
  <si>
    <t>S No </t>
  </si>
  <si>
    <t>Module Name </t>
  </si>
  <si>
    <t>Total Time in fs   (As per Simulation waveform)</t>
  </si>
  <si>
    <t>Corresponding  clocks (MHz)</t>
  </si>
  <si>
    <t>Number of Cycles </t>
  </si>
  <si>
    <t>Normalized clock cycle value (468.75 MHz) </t>
  </si>
  <si>
    <t>Remarks</t>
  </si>
  <si>
    <t>    1 </t>
  </si>
  <si>
    <t>EXTENDED MAC DEMAPPER</t>
  </si>
  <si>
    <t>    2</t>
  </si>
  <si>
    <t>ECPRI DEMAPPER</t>
  </si>
  <si>
    <t>    3</t>
  </si>
  <si>
    <t>ORAN DEMAPPER + Decompression</t>
  </si>
  <si>
    <t>    4</t>
  </si>
  <si>
    <t>DL FDV BUFFER </t>
  </si>
  <si>
    <t>    5 </t>
  </si>
  <si>
    <t>DL ANT SCHEDULER </t>
  </si>
  <si>
    <t>    6 </t>
  </si>
  <si>
    <t>iFFT + CP Addition </t>
  </si>
  <si>
    <t>for 2k point</t>
  </si>
  <si>
    <t>    7</t>
  </si>
  <si>
    <t>INTERLEAVER</t>
  </si>
  <si>
    <t>This for 4K point. May get reduced for 2K point FFT</t>
  </si>
  <si>
    <t>    8</t>
  </si>
  <si>
    <t>IQ Mapper</t>
  </si>
  <si>
    <t>    9</t>
  </si>
  <si>
    <t>CPRI IP</t>
  </si>
  <si>
    <t>To be added</t>
  </si>
  <si>
    <t>Total Cycles</t>
  </si>
  <si>
    <t>Total Latency</t>
  </si>
  <si>
    <t>61 micro seconds</t>
  </si>
  <si>
    <t>Downlink</t>
  </si>
  <si>
    <t>Pipeline Delay</t>
  </si>
  <si>
    <t>Number of Clock Cycles (Based on O/p Clock)</t>
  </si>
  <si>
    <t>Total delay in us</t>
  </si>
  <si>
    <t>ECPRI Demapper</t>
  </si>
  <si>
    <t>ORAN Demapper</t>
  </si>
  <si>
    <t>DL FDV Buffer</t>
  </si>
  <si>
    <t>DL Scheduler</t>
  </si>
  <si>
    <t>DL Blanking</t>
  </si>
  <si>
    <t>ifft_blocktostream_DUT</t>
  </si>
  <si>
    <t>theB2S_cunroll_x</t>
  </si>
  <si>
    <t>theVIFFT_cunroll_x</t>
  </si>
  <si>
    <t>theBRandSCMap_cunroll_x</t>
  </si>
  <si>
    <t>theTXGainComp_cunroll_x</t>
  </si>
  <si>
    <t>theVFFT_cunroll_x</t>
  </si>
  <si>
    <t>thePhaseCompensation_lite_cunroll_x</t>
  </si>
  <si>
    <t>theComplexMixer_cunroll_x</t>
  </si>
  <si>
    <t>thePhasorGenerate_cunroll_x</t>
  </si>
  <si>
    <t>theSOP_EOP_gen_cunroll_x</t>
  </si>
  <si>
    <t>duc_inst</t>
  </si>
  <si>
    <t>theChanFilt_DUC_vunroll_cunroll_x</t>
  </si>
  <si>
    <t>theChan_Filter_lineup1_cunroll_x</t>
  </si>
  <si>
    <t>theDUC_l1_vunroll_cunroll_x</t>
  </si>
  <si>
    <t>theCOMPLEX_MIXER1_vunroll_cunroll_x</t>
  </si>
  <si>
    <t>theSummer_DUC_vunroll_cunroll_x</t>
  </si>
  <si>
    <t>theSummer_vunroll_cunroll_x</t>
  </si>
  <si>
    <t>thePoly_phase_Interp_vunroll_cunroll_x</t>
  </si>
  <si>
    <t>Total Latency (us)</t>
  </si>
  <si>
    <t>Uplink</t>
  </si>
  <si>
    <t>Number of Clock Cycles (Based on o/p Clock)</t>
  </si>
  <si>
    <t>1 </t>
  </si>
  <si>
    <t>eCPRI Mapper</t>
  </si>
  <si>
    <t>ORAN Mapper</t>
  </si>
  <si>
    <t>Uplink_Arbiter</t>
  </si>
  <si>
    <t>CU_Coupling</t>
  </si>
  <si>
    <t>ddc_inst</t>
  </si>
  <si>
    <t>theDUT_vunroll_cunroll_x (DDC)</t>
  </si>
  <si>
    <t>theChan_Filter_l1_cunroll_x</t>
  </si>
  <si>
    <t>theDDC_l1_vunroll_cunroll_x</t>
  </si>
  <si>
    <t>therouting_reg_hb72chan_l1_cunroll_x</t>
  </si>
  <si>
    <t>theDUT_vunroll_cunroll_x (DEC_DLY)</t>
  </si>
  <si>
    <t>theAntenna_Gain_Delay_Compensation_vunroll_cunroll_x</t>
  </si>
  <si>
    <t>thePolyphase_Decimator_vunroll_cunroll_x</t>
  </si>
  <si>
    <t xml:space="preserve"> u_streamtoblock_fft_DUT</t>
  </si>
  <si>
    <t>theFFT_S2B_cunroll_x</t>
  </si>
  <si>
    <t>theCPRemoval_cunroll_x</t>
  </si>
  <si>
    <t>theSignalProcessing_cunroll_x</t>
  </si>
  <si>
    <t xml:space="preserve"> Number of Clock Cycles (Based on O/p Clock)</t>
  </si>
  <si>
    <t>Pulse Delay</t>
  </si>
  <si>
    <t>IFFT</t>
  </si>
  <si>
    <t>DSPBA (24951) + Pipeline delay (7)</t>
  </si>
  <si>
    <t>DUC &amp; CA Interpolator</t>
  </si>
  <si>
    <t>DL Group Delay</t>
  </si>
  <si>
    <t>Simulation Total Latency (Included Pulse Delay)</t>
  </si>
  <si>
    <t>Hardware Latency</t>
  </si>
  <si>
    <t>Hardware DL Config Configured (in ns)</t>
  </si>
  <si>
    <r>
      <t xml:space="preserve">Number of Clock Cycles (Based on o/p Clock)
</t>
    </r>
    <r>
      <rPr>
        <b/>
        <sz val="10"/>
        <rFont val="Arial"/>
        <family val="2"/>
      </rPr>
      <t>[For DFE Loopback]</t>
    </r>
  </si>
  <si>
    <r>
      <t xml:space="preserve">Number of Clock Cycles (Based on o/p Clock)
</t>
    </r>
    <r>
      <rPr>
        <b/>
        <sz val="10"/>
        <rFont val="Arial"/>
        <family val="2"/>
      </rPr>
      <t>[For Digital Loopback]</t>
    </r>
  </si>
  <si>
    <r>
      <t xml:space="preserve">Number of Clock Cycles (Based on o/p Clock)
</t>
    </r>
    <r>
      <rPr>
        <b/>
        <sz val="10"/>
        <rFont val="Arial"/>
        <family val="2"/>
      </rPr>
      <t>[For RF Loopback]</t>
    </r>
  </si>
  <si>
    <t xml:space="preserve">DDC &amp; Decimator Delay </t>
  </si>
  <si>
    <t>DDC Group Delay</t>
  </si>
  <si>
    <t>Koror Digital Loopback Delay</t>
  </si>
  <si>
    <t>Koror RF Loopback (Tx to Rx SMA Cable loopback)</t>
  </si>
  <si>
    <t>Simulation Total Latency (Excluded Pulse Delay)</t>
  </si>
  <si>
    <t>Hardware UL Config Configured (in ns)</t>
  </si>
  <si>
    <t>ORAN DEMAPPER</t>
  </si>
  <si>
    <t>Total Time in fs    (As per Simulation waveform)</t>
  </si>
  <si>
    <t>EXTENDED MAC MAPPER</t>
  </si>
  <si>
    <t>    2 </t>
  </si>
  <si>
    <t>ECPRI MAPPER</t>
  </si>
  <si>
    <t>ORAN mapper + Compression</t>
  </si>
  <si>
    <t>    4 </t>
  </si>
  <si>
    <t>UPLINK ARBITER </t>
  </si>
  <si>
    <t>FFT + CP Removal </t>
  </si>
  <si>
    <t>for 2K point FFT</t>
  </si>
  <si>
    <t>    7 </t>
  </si>
  <si>
    <t>UL ANT SCHEDULER </t>
  </si>
  <si>
    <t>DEINTERLEAVER</t>
  </si>
  <si>
    <t>IQ DEMAPPER</t>
  </si>
  <si>
    <t>    10</t>
  </si>
  <si>
    <t>53 micro seconds</t>
  </si>
  <si>
    <t>Reference Time from Simulation (Min)</t>
  </si>
  <si>
    <t>Reference Time from Simulation (Max)</t>
  </si>
  <si>
    <t>Delay in us for 20MHz</t>
  </si>
  <si>
    <t>Delay in us for 10MHz</t>
  </si>
  <si>
    <t>Delay in us for 5MHz</t>
  </si>
  <si>
    <t>Minimum Latency</t>
  </si>
  <si>
    <t>Max Latency</t>
  </si>
  <si>
    <t>Store 4AxC data from Fronthaul and forward to ORAN</t>
  </si>
  <si>
    <t>Total Time to Write 4 AxC data back to back from IFFT and read 4 AxC parallely and send to CPRI IQ Mapper. This block can be bypassed if we read AxC in order of  0,1,2 and 3 from FDV Buffer itself. But in this case all 9 CPRI Should be in Non- synchornous Transmission mode</t>
  </si>
  <si>
    <t>Ethernet IP</t>
  </si>
  <si>
    <t>From Specification</t>
  </si>
  <si>
    <t>Total DL Latency</t>
  </si>
  <si>
    <t>Min Latency</t>
  </si>
  <si>
    <t>ORAN Mapper + Compression</t>
  </si>
  <si>
    <t>PRACH</t>
  </si>
  <si>
    <t>Delay in us for 100MHz(Bandwidth)</t>
  </si>
  <si>
    <t>    1</t>
  </si>
  <si>
    <t>u_prach_shortFormat_fftShift_prach</t>
  </si>
  <si>
    <t>theControlDecode_cunroll_x</t>
  </si>
  <si>
    <t>theRemoveCP_cunroll_x</t>
  </si>
  <si>
    <t>theScaleAndSelect_cunroll_x</t>
  </si>
  <si>
    <t>theStream2BlockConv_cunroll_x</t>
  </si>
  <si>
    <t>   2</t>
  </si>
  <si>
    <t>PRACH Antenna Mux</t>
  </si>
  <si>
    <t> </t>
  </si>
  <si>
    <t>PRACH Long Format</t>
  </si>
  <si>
    <t>u_LongPRACH_sim_prach_wrap</t>
  </si>
  <si>
    <t>theLongPRACH_core_cunroll_x</t>
  </si>
  <si>
    <t>theCP_REMOVAL_cunroll_x</t>
  </si>
  <si>
    <t>theDECIMATION_cunroll_x</t>
  </si>
  <si>
    <t>theFFTShift_cunroll_x</t>
  </si>
  <si>
    <t>theMIXER_cunroll_x</t>
  </si>
  <si>
    <t>theS2B_FFT_cunroll_x</t>
  </si>
  <si>
    <t>theFFT1_cunroll_x</t>
  </si>
  <si>
    <t>theS2B_cunroll_x</t>
  </si>
  <si>
    <t>theSYM_SELECT_cunroll_x</t>
  </si>
  <si>
    <t>theMUX_ConfigId_cunroll_x</t>
  </si>
  <si>
    <t>u_cu_plane_coupling</t>
  </si>
  <si>
    <t>Reference Time from Simulation 
(Min)</t>
  </si>
  <si>
    <t>Reference Time from Simulation
 (Max)</t>
  </si>
  <si>
    <t>Maximum Latency</t>
  </si>
  <si>
    <t>Store 36AxC data from Fronthaul and forward to ORAN IP</t>
  </si>
  <si>
    <t xml:space="preserve">Total Time to Write 36 AxC data back to back from IFFT and read 36 AxC parallely and send to CPRI IQ Mapper. </t>
  </si>
  <si>
    <t>https://www.intel.com/content/dam/www/programmable/us/en/pdfs/literature/ug/ug_s10_25gbe.pdf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</si>
</sst>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5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0"/>
      <name val="Book Antiqua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</font>
  </fonts>
  <fills count="14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13" borderId="0" applyNumberFormat="0" applyBorder="0" applyAlignment="0" applyProtection="0"/>
  </cellStyleXfs>
  <cellXfs count="125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164" fontId="1" fillId="3" borderId="18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2" fillId="5" borderId="19" xfId="0" applyFont="1" applyFill="1" applyBorder="1" applyAlignment="1">
      <alignment wrapText="1"/>
    </xf>
    <xf numFmtId="0" fontId="2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wrapText="1"/>
    </xf>
    <xf numFmtId="0" fontId="3" fillId="0" borderId="22" xfId="0" applyFont="1" applyBorder="1" applyAlignment="1">
      <alignment wrapText="1"/>
    </xf>
    <xf numFmtId="14" fontId="3" fillId="0" borderId="23" xfId="0" applyNumberFormat="1" applyFont="1" applyBorder="1" applyAlignment="1">
      <alignment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3" borderId="2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3" fontId="1" fillId="3" borderId="25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7" borderId="25" xfId="0" applyFont="1" applyFill="1" applyBorder="1" applyAlignment="1">
      <alignment horizontal="center" vertical="center" wrapText="1"/>
    </xf>
    <xf numFmtId="3" fontId="1" fillId="7" borderId="25" xfId="0" applyNumberFormat="1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2" fontId="1" fillId="9" borderId="25" xfId="0" applyNumberFormat="1" applyFont="1" applyFill="1" applyBorder="1" applyAlignment="1">
      <alignment horizontal="center" vertical="center" wrapText="1"/>
    </xf>
    <xf numFmtId="2" fontId="1" fillId="10" borderId="25" xfId="0" applyNumberFormat="1" applyFont="1" applyFill="1" applyBorder="1" applyAlignment="1">
      <alignment horizontal="center" vertical="center" wrapText="1"/>
    </xf>
    <xf numFmtId="0" fontId="4" fillId="11" borderId="0" xfId="0" applyFont="1" applyFill="1"/>
    <xf numFmtId="0" fontId="5" fillId="0" borderId="0" xfId="0" applyFont="1"/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0" fillId="0" borderId="25" xfId="0" applyBorder="1"/>
    <xf numFmtId="0" fontId="3" fillId="0" borderId="32" xfId="0" applyFont="1" applyBorder="1" applyAlignment="1">
      <alignment wrapText="1"/>
    </xf>
    <xf numFmtId="0" fontId="7" fillId="2" borderId="2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11" borderId="0" xfId="0" applyFont="1" applyFill="1" applyAlignment="1">
      <alignment horizontal="center"/>
    </xf>
    <xf numFmtId="0" fontId="1" fillId="3" borderId="25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 indent="5"/>
    </xf>
    <xf numFmtId="0" fontId="8" fillId="0" borderId="0" xfId="0" applyFont="1"/>
    <xf numFmtId="0" fontId="7" fillId="3" borderId="25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 indent="8"/>
    </xf>
    <xf numFmtId="0" fontId="7" fillId="3" borderId="25" xfId="0" applyFont="1" applyFill="1" applyBorder="1" applyAlignment="1">
      <alignment horizontal="left" vertical="center" wrapText="1" indent="5"/>
    </xf>
    <xf numFmtId="0" fontId="7" fillId="3" borderId="25" xfId="0" applyFont="1" applyFill="1" applyBorder="1" applyAlignment="1">
      <alignment horizontal="left" vertical="center" wrapText="1" indent="4"/>
    </xf>
    <xf numFmtId="0" fontId="1" fillId="2" borderId="34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 wrapText="1" indent="5"/>
    </xf>
    <xf numFmtId="0" fontId="9" fillId="11" borderId="18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vertical="center" wrapText="1"/>
    </xf>
    <xf numFmtId="0" fontId="1" fillId="3" borderId="26" xfId="0" applyFont="1" applyFill="1" applyBorder="1" applyAlignment="1">
      <alignment horizontal="left" vertical="center" wrapText="1" indent="5"/>
    </xf>
    <xf numFmtId="0" fontId="1" fillId="3" borderId="26" xfId="0" applyFont="1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25" xfId="0" applyFont="1" applyFill="1" applyBorder="1" applyAlignment="1">
      <alignment horizontal="left" vertical="center" wrapText="1" indent="7"/>
    </xf>
    <xf numFmtId="0" fontId="0" fillId="0" borderId="0" xfId="0" applyAlignment="1">
      <alignment horizontal="center" vertical="center"/>
    </xf>
    <xf numFmtId="0" fontId="3" fillId="0" borderId="25" xfId="0" applyFont="1" applyBorder="1" applyAlignment="1">
      <alignment wrapText="1"/>
    </xf>
    <xf numFmtId="14" fontId="11" fillId="0" borderId="25" xfId="0" applyNumberFormat="1" applyFont="1" applyBorder="1"/>
    <xf numFmtId="0" fontId="0" fillId="0" borderId="0" xfId="0" applyAlignment="1">
      <alignment horizontal="left" indent="1"/>
    </xf>
    <xf numFmtId="0" fontId="5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" fillId="3" borderId="25" xfId="0" applyFont="1" applyFill="1" applyBorder="1" applyAlignment="1">
      <alignment horizontal="left" vertical="center" wrapText="1" indent="10"/>
    </xf>
    <xf numFmtId="0" fontId="1" fillId="3" borderId="25" xfId="0" applyFont="1" applyFill="1" applyBorder="1" applyAlignment="1">
      <alignment horizontal="left" vertical="center" wrapText="1" indent="15"/>
    </xf>
    <xf numFmtId="0" fontId="9" fillId="11" borderId="0" xfId="0" applyFont="1" applyFill="1" applyAlignment="1">
      <alignment horizontal="center" vertical="center" wrapText="1"/>
    </xf>
    <xf numFmtId="0" fontId="7" fillId="3" borderId="25" xfId="0" applyFont="1" applyFill="1" applyBorder="1" applyAlignment="1">
      <alignment horizontal="left" vertical="center" wrapText="1" indent="10"/>
    </xf>
    <xf numFmtId="0" fontId="1" fillId="3" borderId="2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6" fillId="13" borderId="25" xfId="1" applyFont="1" applyBorder="1" applyAlignment="1">
      <alignment horizontal="center" vertical="center"/>
    </xf>
    <xf numFmtId="0" fontId="12" fillId="13" borderId="25" xfId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6" fillId="12" borderId="25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1" fillId="2" borderId="35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0" fillId="12" borderId="25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left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6" fillId="13" borderId="37" xfId="1" applyFont="1" applyBorder="1" applyAlignment="1">
      <alignment horizontal="center" vertical="center"/>
    </xf>
    <xf numFmtId="0" fontId="12" fillId="13" borderId="0" xfId="1" applyAlignment="1">
      <alignment horizontal="center" vertical="center"/>
    </xf>
    <xf numFmtId="0" fontId="6" fillId="12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 wrapText="1"/>
    </xf>
    <xf numFmtId="0" fontId="1" fillId="8" borderId="31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 indent="13"/>
    </xf>
  </cellXfs>
  <cellStyles count="2">
    <cellStyle name="60% - Accent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10</xdr:col>
      <xdr:colOff>189717</xdr:colOff>
      <xdr:row>16</xdr:row>
      <xdr:rowOff>37714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8E0040-3FB2-47B8-8967-A5BB1BF61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6266667" cy="3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EBEA-9A90-464B-A568-8923784A191D}">
  <sheetPr codeName="Sheet1"/>
  <dimension ref="A1:D9"/>
  <sheetViews>
    <sheetView workbookViewId="0">
      <selection activeCell="A5" sqref="A5"/>
    </sheetView>
  </sheetViews>
  <sheetFormatPr defaultRowHeight="15"/>
  <cols>
    <col min="1" max="1" width="16.7109375" customWidth="1"/>
    <col min="2" max="2" width="12.85546875" customWidth="1"/>
    <col min="3" max="3" width="46.85546875" customWidth="1"/>
    <col min="4" max="4" width="32.140625" customWidth="1"/>
  </cols>
  <sheetData>
    <row r="1" spans="1:4" ht="15.75" thickBot="1"/>
    <row r="2" spans="1:4" ht="30">
      <c r="A2" s="14" t="s">
        <v>0</v>
      </c>
      <c r="B2" s="15" t="s">
        <v>1</v>
      </c>
      <c r="C2" s="16" t="s">
        <v>2</v>
      </c>
      <c r="D2" s="16" t="s">
        <v>3</v>
      </c>
    </row>
    <row r="3" spans="1:4">
      <c r="A3" s="17" t="s">
        <v>4</v>
      </c>
      <c r="B3" s="18">
        <v>45546</v>
      </c>
      <c r="C3" s="42" t="s">
        <v>5</v>
      </c>
      <c r="D3" s="41"/>
    </row>
    <row r="4" spans="1:4">
      <c r="A4" s="17" t="s">
        <v>6</v>
      </c>
      <c r="B4" s="18">
        <v>45789</v>
      </c>
      <c r="C4" s="42" t="s">
        <v>7</v>
      </c>
      <c r="D4" s="41"/>
    </row>
    <row r="5" spans="1:4">
      <c r="A5" s="17"/>
      <c r="B5" s="18"/>
      <c r="C5" s="42"/>
      <c r="D5" s="41"/>
    </row>
    <row r="6" spans="1:4">
      <c r="A6" s="17"/>
      <c r="B6" s="18"/>
      <c r="C6" s="42"/>
      <c r="D6" s="41"/>
    </row>
    <row r="7" spans="1:4">
      <c r="A7" s="17"/>
      <c r="B7" s="18"/>
      <c r="C7" s="42"/>
      <c r="D7" s="41"/>
    </row>
    <row r="8" spans="1:4">
      <c r="A8" s="65"/>
      <c r="B8" s="66"/>
      <c r="C8" s="65"/>
      <c r="D8" s="41"/>
    </row>
    <row r="9" spans="1:4">
      <c r="A9" s="65"/>
      <c r="B9" s="66"/>
      <c r="C9" s="65"/>
      <c r="D9" s="4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CA2F-4B89-48A3-AA13-4D7BBEA3590F}">
  <sheetPr codeName="Sheet2"/>
  <dimension ref="A1:G16"/>
  <sheetViews>
    <sheetView zoomScale="85" zoomScaleNormal="85" workbookViewId="0">
      <selection activeCell="F4" sqref="F4"/>
    </sheetView>
  </sheetViews>
  <sheetFormatPr defaultRowHeight="15"/>
  <cols>
    <col min="2" max="2" width="26.28515625" customWidth="1"/>
    <col min="3" max="3" width="20.28515625" customWidth="1"/>
    <col min="4" max="4" width="28.42578125" customWidth="1"/>
    <col min="5" max="5" width="20.7109375" customWidth="1"/>
    <col min="6" max="6" width="24.140625" customWidth="1"/>
    <col min="7" max="7" width="28" customWidth="1"/>
  </cols>
  <sheetData>
    <row r="1" spans="1:7" ht="15.75" customHeight="1" thickBot="1">
      <c r="A1" s="75" t="s">
        <v>8</v>
      </c>
      <c r="B1" s="76"/>
      <c r="C1" s="76"/>
      <c r="D1" s="76"/>
      <c r="E1" s="76"/>
      <c r="F1" s="76"/>
      <c r="G1" s="76"/>
    </row>
    <row r="2" spans="1:7" ht="74.45" customHeight="1">
      <c r="A2" s="77" t="s">
        <v>9</v>
      </c>
      <c r="B2" s="79" t="s">
        <v>10</v>
      </c>
      <c r="C2" s="19" t="s">
        <v>11</v>
      </c>
      <c r="D2" s="38" t="s">
        <v>12</v>
      </c>
      <c r="E2" s="79" t="s">
        <v>13</v>
      </c>
      <c r="F2" s="81" t="s">
        <v>14</v>
      </c>
      <c r="G2" s="83" t="s">
        <v>15</v>
      </c>
    </row>
    <row r="3" spans="1:7" ht="15.75" customHeight="1" thickBot="1">
      <c r="A3" s="78"/>
      <c r="B3" s="80"/>
      <c r="C3" s="20"/>
      <c r="D3" s="39"/>
      <c r="E3" s="80"/>
      <c r="F3" s="82"/>
      <c r="G3" s="84"/>
    </row>
    <row r="4" spans="1:7" ht="43.9" customHeight="1" thickBot="1">
      <c r="A4" s="2" t="s">
        <v>16</v>
      </c>
      <c r="B4" s="1" t="s">
        <v>17</v>
      </c>
      <c r="C4" s="1">
        <v>49640000</v>
      </c>
      <c r="D4" s="1">
        <v>390.625</v>
      </c>
      <c r="E4" s="1">
        <f t="shared" ref="E4:E12" si="0">C4* D4*10^-9</f>
        <v>19.390625</v>
      </c>
      <c r="F4" s="3">
        <f t="shared" ref="F4:F12" si="1">$D$7/D4*E4</f>
        <v>23.268750000000001</v>
      </c>
      <c r="G4" s="3"/>
    </row>
    <row r="5" spans="1:7" ht="43.15" customHeight="1" thickBot="1">
      <c r="A5" s="2" t="s">
        <v>18</v>
      </c>
      <c r="B5" s="1" t="s">
        <v>19</v>
      </c>
      <c r="C5" s="1">
        <v>116654000</v>
      </c>
      <c r="D5" s="1">
        <v>390.625</v>
      </c>
      <c r="E5" s="1">
        <f t="shared" si="0"/>
        <v>45.567968750000006</v>
      </c>
      <c r="F5" s="3">
        <f t="shared" si="1"/>
        <v>54.681562500000005</v>
      </c>
      <c r="G5" s="3"/>
    </row>
    <row r="6" spans="1:7" ht="30.75" thickBot="1">
      <c r="A6" s="2" t="s">
        <v>20</v>
      </c>
      <c r="B6" s="1" t="s">
        <v>21</v>
      </c>
      <c r="C6" s="1">
        <v>168776000</v>
      </c>
      <c r="D6" s="1">
        <v>390.625</v>
      </c>
      <c r="E6" s="1">
        <f t="shared" si="0"/>
        <v>65.928125000000009</v>
      </c>
      <c r="F6" s="3">
        <f t="shared" si="1"/>
        <v>79.11375000000001</v>
      </c>
      <c r="G6" s="3"/>
    </row>
    <row r="7" spans="1:7" ht="44.45" customHeight="1" thickBot="1">
      <c r="A7" s="2" t="s">
        <v>22</v>
      </c>
      <c r="B7" s="1" t="s">
        <v>23</v>
      </c>
      <c r="C7" s="1">
        <v>17477579000</v>
      </c>
      <c r="D7" s="1">
        <v>468.75</v>
      </c>
      <c r="E7" s="1">
        <f t="shared" si="0"/>
        <v>8192.6151562499999</v>
      </c>
      <c r="F7" s="3">
        <f t="shared" si="1"/>
        <v>8192.6151562499999</v>
      </c>
      <c r="G7" s="3"/>
    </row>
    <row r="8" spans="1:7" ht="42" customHeight="1" thickBot="1">
      <c r="A8" s="2" t="s">
        <v>24</v>
      </c>
      <c r="B8" s="1" t="s">
        <v>25</v>
      </c>
      <c r="C8" s="1">
        <v>8140000</v>
      </c>
      <c r="D8" s="1">
        <v>468.75</v>
      </c>
      <c r="E8" s="1">
        <f t="shared" si="0"/>
        <v>3.8156250000000003</v>
      </c>
      <c r="F8" s="3">
        <f t="shared" si="1"/>
        <v>3.8156250000000003</v>
      </c>
      <c r="G8" s="3"/>
    </row>
    <row r="9" spans="1:7" ht="39" customHeight="1" thickBot="1">
      <c r="A9" s="2" t="s">
        <v>26</v>
      </c>
      <c r="B9" s="1" t="s">
        <v>27</v>
      </c>
      <c r="C9" s="1">
        <v>13824000000</v>
      </c>
      <c r="D9" s="1">
        <v>250</v>
      </c>
      <c r="E9" s="1">
        <f t="shared" si="0"/>
        <v>3456</v>
      </c>
      <c r="F9" s="3">
        <f t="shared" si="1"/>
        <v>6480</v>
      </c>
      <c r="G9" s="3" t="s">
        <v>28</v>
      </c>
    </row>
    <row r="10" spans="1:7" ht="37.15" customHeight="1" thickBot="1">
      <c r="A10" s="2" t="s">
        <v>29</v>
      </c>
      <c r="B10" s="1" t="s">
        <v>30</v>
      </c>
      <c r="C10" s="1">
        <v>30741149000</v>
      </c>
      <c r="D10" s="1">
        <v>245.76</v>
      </c>
      <c r="E10" s="1">
        <f t="shared" si="0"/>
        <v>7554.9447782400002</v>
      </c>
      <c r="F10" s="3">
        <f t="shared" si="1"/>
        <v>14409.91359375</v>
      </c>
      <c r="G10" s="3" t="s">
        <v>31</v>
      </c>
    </row>
    <row r="11" spans="1:7" ht="35.450000000000003" customHeight="1" thickBot="1">
      <c r="A11" s="2" t="s">
        <v>32</v>
      </c>
      <c r="B11" s="1" t="s">
        <v>33</v>
      </c>
      <c r="C11" s="2">
        <v>260416667</v>
      </c>
      <c r="D11" s="1">
        <v>245.76</v>
      </c>
      <c r="E11" s="2">
        <f t="shared" si="0"/>
        <v>64.000000081920007</v>
      </c>
      <c r="F11" s="3">
        <f t="shared" si="1"/>
        <v>122.07031265625001</v>
      </c>
      <c r="G11" s="3"/>
    </row>
    <row r="12" spans="1:7" ht="39" customHeight="1" thickBot="1">
      <c r="A12" s="2" t="s">
        <v>34</v>
      </c>
      <c r="B12" s="1" t="s">
        <v>35</v>
      </c>
      <c r="C12" s="1">
        <v>0</v>
      </c>
      <c r="D12" s="1">
        <v>245.76</v>
      </c>
      <c r="E12" s="1">
        <f t="shared" si="0"/>
        <v>0</v>
      </c>
      <c r="F12" s="3">
        <f t="shared" si="1"/>
        <v>0</v>
      </c>
      <c r="G12" s="3" t="s">
        <v>36</v>
      </c>
    </row>
    <row r="13" spans="1:7">
      <c r="E13" t="s">
        <v>37</v>
      </c>
      <c r="F13" s="11">
        <f>SUM(F4:F12)</f>
        <v>29365.47875015625</v>
      </c>
    </row>
    <row r="14" spans="1:7">
      <c r="E14" t="s">
        <v>38</v>
      </c>
      <c r="F14" s="12">
        <f>F13*(1/(D7*10^6))</f>
        <v>6.2646354667000002E-5</v>
      </c>
    </row>
    <row r="16" spans="1:7">
      <c r="E16" s="13" t="s">
        <v>38</v>
      </c>
      <c r="F16" s="13" t="s">
        <v>39</v>
      </c>
    </row>
  </sheetData>
  <mergeCells count="6">
    <mergeCell ref="A1:G1"/>
    <mergeCell ref="A2:A3"/>
    <mergeCell ref="B2:B3"/>
    <mergeCell ref="E2:E3"/>
    <mergeCell ref="F2:F3"/>
    <mergeCell ref="G2:G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EE75-E7DA-48DD-8A12-67759FCADF4B}">
  <sheetPr codeName="Sheet3"/>
  <dimension ref="A1:E27"/>
  <sheetViews>
    <sheetView topLeftCell="A6" zoomScale="85" zoomScaleNormal="85" workbookViewId="0">
      <selection activeCell="B29" sqref="B29"/>
    </sheetView>
  </sheetViews>
  <sheetFormatPr defaultRowHeight="15"/>
  <cols>
    <col min="1" max="1" width="10.7109375" customWidth="1"/>
    <col min="2" max="2" width="75.7109375" customWidth="1"/>
    <col min="3" max="4" width="30.7109375" customWidth="1"/>
    <col min="5" max="5" width="13.42578125" style="64" customWidth="1"/>
    <col min="6" max="6" width="36.5703125" customWidth="1"/>
    <col min="7" max="7" width="20.85546875" customWidth="1"/>
    <col min="8" max="8" width="15.85546875" bestFit="1" customWidth="1"/>
  </cols>
  <sheetData>
    <row r="1" spans="1:5" ht="39.950000000000003" customHeight="1">
      <c r="A1" s="86" t="s">
        <v>40</v>
      </c>
      <c r="B1" s="87"/>
      <c r="C1" s="87"/>
      <c r="D1" s="87"/>
    </row>
    <row r="2" spans="1:5" ht="30" customHeight="1">
      <c r="A2" s="88" t="s">
        <v>9</v>
      </c>
      <c r="B2" s="88" t="s">
        <v>10</v>
      </c>
      <c r="C2" s="88" t="s">
        <v>41</v>
      </c>
      <c r="D2" s="88"/>
    </row>
    <row r="3" spans="1:5" ht="39.950000000000003" customHeight="1">
      <c r="A3" s="88"/>
      <c r="B3" s="88"/>
      <c r="C3" s="43" t="s">
        <v>42</v>
      </c>
      <c r="D3" s="43" t="s">
        <v>43</v>
      </c>
    </row>
    <row r="4" spans="1:5" ht="30" customHeight="1">
      <c r="A4" s="23">
        <v>1</v>
      </c>
      <c r="B4" s="49" t="s">
        <v>44</v>
      </c>
      <c r="C4" s="50">
        <f>CEILING(((D4*1000)/2.56),1)</f>
        <v>58</v>
      </c>
      <c r="D4" s="123">
        <v>0.1465716</v>
      </c>
      <c r="E4"/>
    </row>
    <row r="5" spans="1:5" ht="30" customHeight="1">
      <c r="A5" s="23">
        <v>2</v>
      </c>
      <c r="B5" s="49" t="s">
        <v>45</v>
      </c>
      <c r="C5" s="50">
        <f>CEILING(((D5*1000)/2.56),1)</f>
        <v>106</v>
      </c>
      <c r="D5" s="50">
        <v>0.27135999999999999</v>
      </c>
      <c r="E5"/>
    </row>
    <row r="6" spans="1:5" ht="30" customHeight="1">
      <c r="A6" s="23">
        <v>3</v>
      </c>
      <c r="B6" s="49" t="s">
        <v>46</v>
      </c>
      <c r="C6" s="50">
        <f>CEILING(((D6*1000)/2.0345),1)</f>
        <v>10409</v>
      </c>
      <c r="D6" s="50">
        <v>21.17576425</v>
      </c>
      <c r="E6"/>
    </row>
    <row r="7" spans="1:5" ht="30" customHeight="1">
      <c r="A7" s="23">
        <v>4</v>
      </c>
      <c r="B7" s="49" t="s">
        <v>47</v>
      </c>
      <c r="C7" s="50">
        <f t="shared" ref="C7:C26" si="0">CEILING(((D7*1000)/2.0345),1)</f>
        <v>6</v>
      </c>
      <c r="D7" s="50">
        <v>1.2207000000000001E-2</v>
      </c>
      <c r="E7"/>
    </row>
    <row r="8" spans="1:5" ht="30" customHeight="1">
      <c r="A8" s="74">
        <v>5</v>
      </c>
      <c r="B8" s="49" t="s">
        <v>48</v>
      </c>
      <c r="C8" s="50">
        <f>CEILING(((D8*1000)/2.0345),1)</f>
        <v>7</v>
      </c>
      <c r="D8" s="50">
        <v>1.4241500000000001E-2</v>
      </c>
      <c r="E8"/>
    </row>
    <row r="9" spans="1:5" ht="30" customHeight="1">
      <c r="A9" s="111">
        <v>6</v>
      </c>
      <c r="B9" s="49" t="s">
        <v>49</v>
      </c>
      <c r="C9" s="50">
        <f>CEILING(((D9*1000)/2.0345),1)</f>
        <v>24951</v>
      </c>
      <c r="D9" s="50">
        <f>SUM(D10,D11,D15)</f>
        <v>50.762809499999996</v>
      </c>
      <c r="E9"/>
    </row>
    <row r="10" spans="1:5" ht="30" customHeight="1">
      <c r="A10" s="112"/>
      <c r="B10" s="52" t="s">
        <v>50</v>
      </c>
      <c r="C10" s="50">
        <f t="shared" si="0"/>
        <v>17456</v>
      </c>
      <c r="D10" s="50">
        <v>35.514232</v>
      </c>
      <c r="E10"/>
    </row>
    <row r="11" spans="1:5" ht="30" customHeight="1">
      <c r="A11" s="112"/>
      <c r="B11" s="73" t="s">
        <v>51</v>
      </c>
      <c r="C11" s="50">
        <f t="shared" si="0"/>
        <v>7453</v>
      </c>
      <c r="D11" s="50">
        <v>15.163128499999999</v>
      </c>
      <c r="E11"/>
    </row>
    <row r="12" spans="1:5" ht="30" customHeight="1">
      <c r="A12" s="112"/>
      <c r="B12" s="124" t="s">
        <v>52</v>
      </c>
      <c r="C12" s="23">
        <f t="shared" si="0"/>
        <v>3293</v>
      </c>
      <c r="D12" s="23">
        <v>6.6996085000000001</v>
      </c>
      <c r="E12"/>
    </row>
    <row r="13" spans="1:5" ht="30" customHeight="1">
      <c r="A13" s="112"/>
      <c r="B13" s="124" t="s">
        <v>53</v>
      </c>
      <c r="C13" s="23">
        <f t="shared" si="0"/>
        <v>9</v>
      </c>
      <c r="D13" s="23">
        <v>1.83105E-2</v>
      </c>
      <c r="E13"/>
    </row>
    <row r="14" spans="1:5" ht="30" customHeight="1">
      <c r="A14" s="112"/>
      <c r="B14" s="124" t="s">
        <v>54</v>
      </c>
      <c r="C14" s="23">
        <f t="shared" si="0"/>
        <v>4151</v>
      </c>
      <c r="D14" s="23">
        <v>8.4452095000000007</v>
      </c>
      <c r="E14"/>
    </row>
    <row r="15" spans="1:5" ht="30" customHeight="1">
      <c r="A15" s="112"/>
      <c r="B15" s="52" t="s">
        <v>55</v>
      </c>
      <c r="C15" s="50">
        <f>CEILING(((D15*1000)/2.0345),1)</f>
        <v>42</v>
      </c>
      <c r="D15" s="50">
        <f>SUM(D16:D18)</f>
        <v>8.5448999999999997E-2</v>
      </c>
      <c r="E15"/>
    </row>
    <row r="16" spans="1:5" ht="30" customHeight="1">
      <c r="A16" s="112"/>
      <c r="B16" s="51" t="s">
        <v>56</v>
      </c>
      <c r="C16" s="23">
        <f t="shared" si="0"/>
        <v>6</v>
      </c>
      <c r="D16" s="23">
        <v>1.2207000000000001E-2</v>
      </c>
      <c r="E16"/>
    </row>
    <row r="17" spans="1:5" ht="30" customHeight="1">
      <c r="A17" s="112"/>
      <c r="B17" s="51" t="s">
        <v>57</v>
      </c>
      <c r="C17" s="23">
        <f t="shared" si="0"/>
        <v>35</v>
      </c>
      <c r="D17" s="23">
        <v>7.1207500000000007E-2</v>
      </c>
      <c r="E17"/>
    </row>
    <row r="18" spans="1:5" ht="30" customHeight="1">
      <c r="A18" s="113"/>
      <c r="B18" s="51" t="s">
        <v>58</v>
      </c>
      <c r="C18" s="23">
        <f t="shared" si="0"/>
        <v>1</v>
      </c>
      <c r="D18" s="23">
        <v>2.0344999999999999E-3</v>
      </c>
      <c r="E18"/>
    </row>
    <row r="19" spans="1:5" ht="30" customHeight="1">
      <c r="A19" s="85">
        <v>7</v>
      </c>
      <c r="B19" s="49" t="s">
        <v>59</v>
      </c>
      <c r="C19" s="50">
        <f>CEILING(((D19*1000)/2.0345),1)</f>
        <v>139</v>
      </c>
      <c r="D19" s="50">
        <f>SUM(D20,D24)</f>
        <v>0.28279549999999998</v>
      </c>
      <c r="E19"/>
    </row>
    <row r="20" spans="1:5" ht="30" customHeight="1">
      <c r="A20" s="85"/>
      <c r="B20" s="52" t="s">
        <v>60</v>
      </c>
      <c r="C20" s="50">
        <f t="shared" ref="C20:C26" si="1">CEILING(((D20*1000)/2.0345),1)</f>
        <v>118</v>
      </c>
      <c r="D20" s="50">
        <f>SUM(D21:D23)</f>
        <v>0.24007099999999998</v>
      </c>
      <c r="E20"/>
    </row>
    <row r="21" spans="1:5" ht="30" customHeight="1">
      <c r="A21" s="85"/>
      <c r="B21" s="51" t="s">
        <v>61</v>
      </c>
      <c r="C21" s="23">
        <f t="shared" si="1"/>
        <v>75</v>
      </c>
      <c r="D21" s="23">
        <v>0.15258749999999999</v>
      </c>
      <c r="E21"/>
    </row>
    <row r="22" spans="1:5" ht="30" customHeight="1">
      <c r="A22" s="85"/>
      <c r="B22" s="51" t="s">
        <v>62</v>
      </c>
      <c r="C22" s="23">
        <f>CEILING(((D22*1000)/2.0345),1)</f>
        <v>20</v>
      </c>
      <c r="D22" s="23">
        <v>4.0689999999999997E-2</v>
      </c>
      <c r="E22"/>
    </row>
    <row r="23" spans="1:5" ht="30" customHeight="1">
      <c r="A23" s="85"/>
      <c r="B23" s="51" t="s">
        <v>63</v>
      </c>
      <c r="C23" s="23">
        <f>CEILING(((D23*1000)/2.0345),1)</f>
        <v>23</v>
      </c>
      <c r="D23" s="23">
        <v>4.6793500000000002E-2</v>
      </c>
      <c r="E23"/>
    </row>
    <row r="24" spans="1:5" ht="30" customHeight="1">
      <c r="A24" s="85"/>
      <c r="B24" s="52" t="s">
        <v>64</v>
      </c>
      <c r="C24" s="50">
        <f>CEILING(((D24*1000)/2.0345),1)</f>
        <v>21</v>
      </c>
      <c r="D24" s="50">
        <f>SUM(D25,D26)</f>
        <v>4.2724499999999999E-2</v>
      </c>
      <c r="E24"/>
    </row>
    <row r="25" spans="1:5" ht="30" customHeight="1">
      <c r="A25" s="85"/>
      <c r="B25" s="51" t="s">
        <v>65</v>
      </c>
      <c r="C25" s="23">
        <f>CEILING(((D25*1000)/2.0345),1)</f>
        <v>14</v>
      </c>
      <c r="D25" s="23">
        <v>2.8483000000000001E-2</v>
      </c>
      <c r="E25"/>
    </row>
    <row r="26" spans="1:5" ht="15" customHeight="1">
      <c r="A26" s="85"/>
      <c r="B26" s="51" t="s">
        <v>66</v>
      </c>
      <c r="C26" s="23">
        <f t="shared" si="1"/>
        <v>7</v>
      </c>
      <c r="D26" s="23">
        <v>1.4241500000000001E-2</v>
      </c>
      <c r="E26"/>
    </row>
    <row r="27" spans="1:5" ht="21" customHeight="1">
      <c r="C27" s="44" t="s">
        <v>67</v>
      </c>
      <c r="D27" s="45">
        <f>SUM(D4:D9,D19)</f>
        <v>72.665749349999999</v>
      </c>
      <c r="E27"/>
    </row>
  </sheetData>
  <mergeCells count="6">
    <mergeCell ref="A1:D1"/>
    <mergeCell ref="A2:A3"/>
    <mergeCell ref="B2:B3"/>
    <mergeCell ref="C2:D2"/>
    <mergeCell ref="A9:A18"/>
    <mergeCell ref="A19:A2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D9D5-96DF-4488-B756-5B42A8AA8F92}">
  <sheetPr codeName="Sheet9"/>
  <dimension ref="A1:G25"/>
  <sheetViews>
    <sheetView topLeftCell="A9" zoomScale="85" zoomScaleNormal="85" workbookViewId="0">
      <selection activeCell="B29" sqref="B29"/>
    </sheetView>
  </sheetViews>
  <sheetFormatPr defaultRowHeight="15"/>
  <cols>
    <col min="1" max="1" width="10.7109375" customWidth="1"/>
    <col min="2" max="2" width="80.7109375" customWidth="1"/>
    <col min="3" max="4" width="30.7109375" customWidth="1"/>
    <col min="5" max="5" width="16.42578125" customWidth="1"/>
    <col min="8" max="8" width="26.28515625" customWidth="1"/>
  </cols>
  <sheetData>
    <row r="1" spans="1:7" ht="39.950000000000003" customHeight="1">
      <c r="A1" s="92" t="s">
        <v>68</v>
      </c>
      <c r="B1" s="92"/>
      <c r="C1" s="92"/>
      <c r="D1" s="92"/>
    </row>
    <row r="2" spans="1:7" ht="30" customHeight="1">
      <c r="A2" s="88" t="s">
        <v>9</v>
      </c>
      <c r="B2" s="88" t="s">
        <v>10</v>
      </c>
      <c r="C2" s="88" t="s">
        <v>41</v>
      </c>
      <c r="D2" s="88"/>
    </row>
    <row r="3" spans="1:7" ht="39.950000000000003" customHeight="1">
      <c r="A3" s="88"/>
      <c r="B3" s="88"/>
      <c r="C3" s="43" t="s">
        <v>69</v>
      </c>
      <c r="D3" s="43" t="s">
        <v>43</v>
      </c>
    </row>
    <row r="4" spans="1:7" ht="30" customHeight="1">
      <c r="A4" s="23" t="s">
        <v>70</v>
      </c>
      <c r="B4" s="49" t="s">
        <v>71</v>
      </c>
      <c r="C4" s="50">
        <f>CEILING(((D4*1000)/2.4824),1)</f>
        <v>78</v>
      </c>
      <c r="D4" s="50">
        <v>0.1930036</v>
      </c>
    </row>
    <row r="5" spans="1:7" ht="30" customHeight="1">
      <c r="A5" s="23">
        <v>2</v>
      </c>
      <c r="B5" s="49" t="s">
        <v>72</v>
      </c>
      <c r="C5" s="50">
        <f>CEILING(((D5*1000)/2.56),1)</f>
        <v>1117</v>
      </c>
      <c r="D5" s="50">
        <v>2.8595199999999998</v>
      </c>
    </row>
    <row r="6" spans="1:7" ht="30" customHeight="1">
      <c r="A6" s="23">
        <v>3</v>
      </c>
      <c r="B6" s="49" t="s">
        <v>73</v>
      </c>
      <c r="C6" s="50">
        <f>CEILING(((D6*1000)/2.56),1)</f>
        <v>6</v>
      </c>
      <c r="D6" s="50">
        <v>1.536E-2</v>
      </c>
    </row>
    <row r="7" spans="1:7" ht="30" customHeight="1">
      <c r="A7" s="23">
        <v>4</v>
      </c>
      <c r="B7" s="49" t="s">
        <v>74</v>
      </c>
      <c r="C7" s="50">
        <f>CEILING(((D7*1000)/2.56),1)</f>
        <v>3460</v>
      </c>
      <c r="D7" s="50">
        <v>8.8575832499999994</v>
      </c>
    </row>
    <row r="8" spans="1:7" ht="30" customHeight="1">
      <c r="A8" s="85">
        <v>5</v>
      </c>
      <c r="B8" s="49" t="s">
        <v>75</v>
      </c>
      <c r="C8" s="50">
        <f>CEILING(((D8*1000)/2.0345),1)</f>
        <v>131</v>
      </c>
      <c r="D8" s="50">
        <f>D9+D14</f>
        <v>0.26651950000000002</v>
      </c>
      <c r="G8">
        <f>C8-C16</f>
        <v>104</v>
      </c>
    </row>
    <row r="9" spans="1:7" ht="30" customHeight="1">
      <c r="A9" s="85"/>
      <c r="B9" s="52" t="s">
        <v>76</v>
      </c>
      <c r="C9" s="50">
        <f>CEILING(((D9*1000)/2.0345),1)</f>
        <v>93</v>
      </c>
      <c r="D9" s="50">
        <f>SUM(D10:D13)</f>
        <v>0.18920850000000003</v>
      </c>
    </row>
    <row r="10" spans="1:7" ht="30" customHeight="1">
      <c r="A10" s="85"/>
      <c r="B10" s="51" t="s">
        <v>77</v>
      </c>
      <c r="C10" s="23">
        <f t="shared" ref="C10:C16" si="0">CEILING(((D10*1000)/2.0345),1)</f>
        <v>23</v>
      </c>
      <c r="D10" s="23">
        <v>4.6793500000000002E-2</v>
      </c>
    </row>
    <row r="11" spans="1:7" ht="30" customHeight="1">
      <c r="A11" s="85"/>
      <c r="B11" s="51" t="s">
        <v>63</v>
      </c>
      <c r="C11" s="23">
        <f t="shared" si="0"/>
        <v>27</v>
      </c>
      <c r="D11" s="23">
        <v>5.4931500000000001E-2</v>
      </c>
    </row>
    <row r="12" spans="1:7" ht="30" customHeight="1">
      <c r="A12" s="85"/>
      <c r="B12" s="51" t="s">
        <v>78</v>
      </c>
      <c r="C12" s="23">
        <f t="shared" si="0"/>
        <v>40</v>
      </c>
      <c r="D12" s="23">
        <v>8.1379999999999994E-2</v>
      </c>
    </row>
    <row r="13" spans="1:7" ht="30" customHeight="1">
      <c r="A13" s="85"/>
      <c r="B13" s="51" t="s">
        <v>79</v>
      </c>
      <c r="C13" s="23">
        <v>3</v>
      </c>
      <c r="D13" s="23">
        <v>6.1035000000000004E-3</v>
      </c>
    </row>
    <row r="14" spans="1:7" ht="30" customHeight="1">
      <c r="A14" s="85"/>
      <c r="B14" s="52" t="s">
        <v>80</v>
      </c>
      <c r="C14" s="50">
        <f>CEILING(((D14*1000)/2.0345),1)</f>
        <v>38</v>
      </c>
      <c r="D14" s="50">
        <f>SUM(D15,D16)</f>
        <v>7.7311000000000005E-2</v>
      </c>
    </row>
    <row r="15" spans="1:7" ht="30" customHeight="1">
      <c r="A15" s="85"/>
      <c r="B15" s="51" t="s">
        <v>81</v>
      </c>
      <c r="C15" s="23">
        <f>CEILING(((D15*1000)/2.0345),1)</f>
        <v>11</v>
      </c>
      <c r="D15" s="23">
        <v>2.23795E-2</v>
      </c>
    </row>
    <row r="16" spans="1:7" ht="30" customHeight="1">
      <c r="A16" s="85"/>
      <c r="B16" s="51" t="s">
        <v>82</v>
      </c>
      <c r="C16" s="23">
        <f>CEILING(((D16*1000)/2.0345),1)</f>
        <v>27</v>
      </c>
      <c r="D16" s="23">
        <v>5.4931500000000001E-2</v>
      </c>
    </row>
    <row r="17" spans="1:4" ht="30" customHeight="1">
      <c r="A17" s="89">
        <v>6</v>
      </c>
      <c r="B17" s="49" t="s">
        <v>83</v>
      </c>
      <c r="C17" s="50">
        <f>CEILING(((D17*1000)/2.0345),1)</f>
        <v>26165</v>
      </c>
      <c r="D17" s="50">
        <f>SUM(D18,D21)</f>
        <v>53.232692499999992</v>
      </c>
    </row>
    <row r="18" spans="1:4" ht="30" customHeight="1">
      <c r="A18" s="90"/>
      <c r="B18" s="53" t="s">
        <v>84</v>
      </c>
      <c r="C18" s="50">
        <f>CEILING(((D18*1000)/2.0345),1)</f>
        <v>26120</v>
      </c>
      <c r="D18" s="50">
        <f>SUM(D19,D20)</f>
        <v>53.141139999999993</v>
      </c>
    </row>
    <row r="19" spans="1:4" ht="30" customHeight="1">
      <c r="A19" s="90"/>
      <c r="B19" s="63" t="s">
        <v>85</v>
      </c>
      <c r="C19" s="23">
        <f t="shared" ref="C10:C24" si="1">CEILING(((D19*1000)/2.0345),1)</f>
        <v>17804</v>
      </c>
      <c r="D19" s="23">
        <v>36.222237999999997</v>
      </c>
    </row>
    <row r="20" spans="1:4" ht="30" customHeight="1">
      <c r="A20" s="90"/>
      <c r="B20" s="63" t="s">
        <v>86</v>
      </c>
      <c r="C20" s="23">
        <f t="shared" si="1"/>
        <v>8316</v>
      </c>
      <c r="D20" s="23">
        <v>16.918901999999999</v>
      </c>
    </row>
    <row r="21" spans="1:4" ht="30" customHeight="1">
      <c r="A21" s="90"/>
      <c r="B21" s="53" t="s">
        <v>55</v>
      </c>
      <c r="C21" s="50">
        <f>CEILING(((D21*1000)/2.0345),1)</f>
        <v>45</v>
      </c>
      <c r="D21" s="50">
        <f>SUM(D22,D23,D24)</f>
        <v>9.1552499999999995E-2</v>
      </c>
    </row>
    <row r="22" spans="1:4" ht="30" customHeight="1">
      <c r="A22" s="90"/>
      <c r="B22" s="63" t="s">
        <v>56</v>
      </c>
      <c r="C22" s="23">
        <f t="shared" si="1"/>
        <v>6</v>
      </c>
      <c r="D22" s="23">
        <v>1.2207000000000001E-2</v>
      </c>
    </row>
    <row r="23" spans="1:4" ht="30" customHeight="1">
      <c r="A23" s="90"/>
      <c r="B23" s="63" t="s">
        <v>57</v>
      </c>
      <c r="C23" s="23">
        <f t="shared" si="1"/>
        <v>38</v>
      </c>
      <c r="D23" s="23">
        <v>7.7311000000000005E-2</v>
      </c>
    </row>
    <row r="24" spans="1:4" ht="30" customHeight="1">
      <c r="A24" s="91"/>
      <c r="B24" s="63" t="s">
        <v>58</v>
      </c>
      <c r="C24" s="23">
        <f t="shared" si="1"/>
        <v>1</v>
      </c>
      <c r="D24" s="23">
        <v>2.0344999999999999E-3</v>
      </c>
    </row>
    <row r="25" spans="1:4" ht="21">
      <c r="C25" s="68" t="s">
        <v>67</v>
      </c>
      <c r="D25" s="36">
        <f>SUM(D4:D8,D17)</f>
        <v>65.424678849999992</v>
      </c>
    </row>
  </sheetData>
  <mergeCells count="6">
    <mergeCell ref="A17:A24"/>
    <mergeCell ref="A1:D1"/>
    <mergeCell ref="A2:A3"/>
    <mergeCell ref="B2:B3"/>
    <mergeCell ref="C2:D2"/>
    <mergeCell ref="A8:A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2E26-7EC9-4441-B5C7-F46EFD407D99}">
  <dimension ref="B4:H18"/>
  <sheetViews>
    <sheetView tabSelected="1" zoomScale="85" zoomScaleNormal="85" workbookViewId="0">
      <selection activeCell="D13" sqref="D13"/>
    </sheetView>
  </sheetViews>
  <sheetFormatPr defaultRowHeight="15"/>
  <cols>
    <col min="2" max="2" width="10.7109375" customWidth="1"/>
    <col min="3" max="3" width="74.140625" customWidth="1"/>
    <col min="4" max="4" width="25.7109375" customWidth="1"/>
    <col min="5" max="5" width="35.7109375" customWidth="1"/>
    <col min="8" max="8" width="18.140625" customWidth="1"/>
  </cols>
  <sheetData>
    <row r="4" spans="2:8" ht="20.100000000000001" customHeight="1">
      <c r="B4" s="93" t="s">
        <v>40</v>
      </c>
      <c r="C4" s="94"/>
      <c r="D4" s="94"/>
    </row>
    <row r="5" spans="2:8" ht="30" customHeight="1">
      <c r="B5" s="88" t="s">
        <v>9</v>
      </c>
      <c r="C5" s="88" t="s">
        <v>10</v>
      </c>
      <c r="D5" s="43" t="s">
        <v>41</v>
      </c>
    </row>
    <row r="6" spans="2:8" ht="54.95" customHeight="1">
      <c r="B6" s="88"/>
      <c r="C6" s="88"/>
      <c r="D6" s="43" t="s">
        <v>87</v>
      </c>
    </row>
    <row r="7" spans="2:8" ht="30" customHeight="1">
      <c r="B7" s="23">
        <v>1</v>
      </c>
      <c r="C7" s="49" t="s">
        <v>88</v>
      </c>
      <c r="D7" s="50">
        <v>2</v>
      </c>
    </row>
    <row r="8" spans="2:8" ht="30" customHeight="1">
      <c r="B8" s="23">
        <v>2</v>
      </c>
      <c r="C8" s="49" t="s">
        <v>46</v>
      </c>
      <c r="D8" s="50">
        <v>17</v>
      </c>
    </row>
    <row r="9" spans="2:8" ht="30" customHeight="1">
      <c r="B9" s="23">
        <v>3</v>
      </c>
      <c r="C9" s="49" t="s">
        <v>47</v>
      </c>
      <c r="D9" s="50">
        <v>6</v>
      </c>
      <c r="H9" s="67"/>
    </row>
    <row r="10" spans="2:8" ht="30" customHeight="1">
      <c r="B10" s="23">
        <v>4</v>
      </c>
      <c r="C10" s="49" t="s">
        <v>48</v>
      </c>
      <c r="D10" s="50">
        <v>7</v>
      </c>
      <c r="H10" s="67"/>
    </row>
    <row r="11" spans="2:8" ht="30" customHeight="1">
      <c r="B11" s="23">
        <v>5</v>
      </c>
      <c r="C11" s="49" t="s">
        <v>89</v>
      </c>
      <c r="D11" s="50">
        <v>24958</v>
      </c>
      <c r="E11" t="s">
        <v>90</v>
      </c>
      <c r="H11" s="67"/>
    </row>
    <row r="12" spans="2:8" ht="30" customHeight="1">
      <c r="B12" s="23">
        <v>6</v>
      </c>
      <c r="C12" s="49" t="s">
        <v>91</v>
      </c>
      <c r="D12" s="50">
        <v>139</v>
      </c>
    </row>
    <row r="13" spans="2:8" ht="15.75">
      <c r="B13" s="23">
        <v>7</v>
      </c>
      <c r="C13" s="49" t="s">
        <v>92</v>
      </c>
      <c r="D13" s="50">
        <v>356</v>
      </c>
    </row>
    <row r="14" spans="2:8" ht="21">
      <c r="C14" s="44" t="s">
        <v>93</v>
      </c>
      <c r="D14" s="45">
        <f>SUM(D7:D13)</f>
        <v>25485</v>
      </c>
    </row>
    <row r="16" spans="2:8" ht="21">
      <c r="C16" s="44" t="s">
        <v>94</v>
      </c>
      <c r="D16" s="45">
        <f>D14</f>
        <v>25485</v>
      </c>
    </row>
    <row r="18" spans="3:4" ht="21">
      <c r="C18" s="44" t="s">
        <v>95</v>
      </c>
      <c r="D18" s="45">
        <f>D16*2.0345</f>
        <v>51849.232499999998</v>
      </c>
    </row>
  </sheetData>
  <mergeCells count="3">
    <mergeCell ref="B4:D4"/>
    <mergeCell ref="B5:B6"/>
    <mergeCell ref="C5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D028-E661-4F30-942B-F651F37ED9AA}">
  <dimension ref="A4:E14"/>
  <sheetViews>
    <sheetView zoomScale="130" zoomScaleNormal="130" workbookViewId="0">
      <selection activeCell="C7" sqref="C7"/>
    </sheetView>
  </sheetViews>
  <sheetFormatPr defaultRowHeight="15"/>
  <cols>
    <col min="1" max="1" width="10.7109375" customWidth="1"/>
    <col min="2" max="2" width="80.7109375" customWidth="1"/>
    <col min="3" max="3" width="25.7109375" customWidth="1"/>
    <col min="4" max="4" width="23.7109375" customWidth="1"/>
    <col min="5" max="5" width="21.28515625" customWidth="1"/>
    <col min="7" max="7" width="11.42578125" customWidth="1"/>
  </cols>
  <sheetData>
    <row r="4" spans="1:5" ht="20.100000000000001" customHeight="1">
      <c r="A4" s="95" t="s">
        <v>68</v>
      </c>
      <c r="B4" s="95"/>
      <c r="C4" s="95"/>
      <c r="D4" s="95"/>
      <c r="E4" s="95"/>
    </row>
    <row r="5" spans="1:5" ht="30" customHeight="1">
      <c r="A5" s="88" t="s">
        <v>9</v>
      </c>
      <c r="B5" s="88" t="s">
        <v>10</v>
      </c>
      <c r="C5" s="43" t="s">
        <v>41</v>
      </c>
      <c r="D5" s="43" t="s">
        <v>41</v>
      </c>
      <c r="E5" s="43" t="s">
        <v>41</v>
      </c>
    </row>
    <row r="6" spans="1:5" ht="81" customHeight="1">
      <c r="A6" s="88"/>
      <c r="B6" s="88"/>
      <c r="C6" s="43" t="s">
        <v>96</v>
      </c>
      <c r="D6" s="43" t="s">
        <v>97</v>
      </c>
      <c r="E6" s="43" t="s">
        <v>98</v>
      </c>
    </row>
    <row r="7" spans="1:5" ht="26.45" customHeight="1">
      <c r="A7" s="50">
        <v>1</v>
      </c>
      <c r="B7" s="49" t="s">
        <v>99</v>
      </c>
      <c r="C7" s="50">
        <v>131</v>
      </c>
      <c r="D7" s="50">
        <f>C7-30-31</f>
        <v>70</v>
      </c>
      <c r="E7" s="50">
        <v>70</v>
      </c>
    </row>
    <row r="8" spans="1:5" ht="28.9" customHeight="1">
      <c r="A8" s="50">
        <v>2</v>
      </c>
      <c r="B8" s="49" t="s">
        <v>100</v>
      </c>
      <c r="C8" s="50">
        <v>720</v>
      </c>
      <c r="D8" s="50">
        <f>720-20</f>
        <v>700</v>
      </c>
      <c r="E8" s="50">
        <f>720-20</f>
        <v>700</v>
      </c>
    </row>
    <row r="9" spans="1:5" ht="28.9" customHeight="1">
      <c r="A9" s="50">
        <v>3</v>
      </c>
      <c r="B9" s="49" t="s">
        <v>88</v>
      </c>
      <c r="C9" s="50">
        <v>3</v>
      </c>
      <c r="D9" s="50">
        <v>3</v>
      </c>
      <c r="E9" s="50">
        <v>3</v>
      </c>
    </row>
    <row r="10" spans="1:5" ht="28.9" customHeight="1">
      <c r="A10" s="50">
        <v>4</v>
      </c>
      <c r="B10" s="49" t="s">
        <v>101</v>
      </c>
      <c r="C10" s="50">
        <v>0</v>
      </c>
      <c r="D10" s="50">
        <f>478-13</f>
        <v>465</v>
      </c>
      <c r="E10" s="50">
        <v>0</v>
      </c>
    </row>
    <row r="11" spans="1:5" ht="28.9" customHeight="1">
      <c r="A11" s="50">
        <v>5</v>
      </c>
      <c r="B11" s="49" t="s">
        <v>102</v>
      </c>
      <c r="C11" s="50">
        <v>0</v>
      </c>
      <c r="D11" s="50">
        <v>0</v>
      </c>
      <c r="E11" s="50">
        <f>844-13</f>
        <v>831</v>
      </c>
    </row>
    <row r="12" spans="1:5" ht="21" customHeight="1">
      <c r="B12" s="44" t="s">
        <v>103</v>
      </c>
      <c r="C12" s="45">
        <f>C7+C8-C9+C10+C11</f>
        <v>848</v>
      </c>
      <c r="D12" s="45">
        <f>D7+D8-D9+D10+D11</f>
        <v>1232</v>
      </c>
      <c r="E12" s="45">
        <f t="shared" ref="E12" si="0">E7+E8-E9+E10+E11</f>
        <v>1598</v>
      </c>
    </row>
    <row r="13" spans="1:5" ht="21">
      <c r="B13" s="44" t="s">
        <v>104</v>
      </c>
      <c r="C13" s="45">
        <f>C12*2.0345</f>
        <v>1725.2560000000001</v>
      </c>
      <c r="D13" s="45">
        <f>D12*2.0345</f>
        <v>2506.5039999999999</v>
      </c>
      <c r="E13" s="45">
        <f>E12*2.0345</f>
        <v>3251.1309999999999</v>
      </c>
    </row>
    <row r="14" spans="1:5" ht="18.75">
      <c r="B14" s="44"/>
    </row>
  </sheetData>
  <mergeCells count="3">
    <mergeCell ref="A5:A6"/>
    <mergeCell ref="B5:B6"/>
    <mergeCell ref="A4:E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7771-7F09-424B-B0F2-72326FFDD6D9}">
  <sheetPr codeName="Sheet4"/>
  <dimension ref="A1:G16"/>
  <sheetViews>
    <sheetView zoomScale="85" zoomScaleNormal="85" workbookViewId="0">
      <selection activeCell="E4" sqref="E4"/>
    </sheetView>
  </sheetViews>
  <sheetFormatPr defaultRowHeight="15"/>
  <cols>
    <col min="2" max="2" width="26.28515625" customWidth="1"/>
    <col min="3" max="3" width="20.28515625" customWidth="1"/>
    <col min="4" max="4" width="28.42578125" customWidth="1"/>
    <col min="5" max="5" width="20.7109375" customWidth="1"/>
    <col min="6" max="6" width="24.140625" customWidth="1"/>
    <col min="7" max="7" width="28" customWidth="1"/>
  </cols>
  <sheetData>
    <row r="1" spans="1:7" ht="15.75" customHeight="1" thickBot="1">
      <c r="A1" s="75" t="s">
        <v>8</v>
      </c>
      <c r="B1" s="76"/>
      <c r="C1" s="76"/>
      <c r="D1" s="76"/>
      <c r="E1" s="76"/>
      <c r="F1" s="76"/>
      <c r="G1" s="76"/>
    </row>
    <row r="2" spans="1:7" ht="74.45" customHeight="1">
      <c r="A2" s="77" t="s">
        <v>9</v>
      </c>
      <c r="B2" s="79" t="s">
        <v>10</v>
      </c>
      <c r="C2" s="19" t="s">
        <v>11</v>
      </c>
      <c r="D2" s="38" t="s">
        <v>12</v>
      </c>
      <c r="E2" s="79" t="s">
        <v>13</v>
      </c>
      <c r="F2" s="81" t="s">
        <v>14</v>
      </c>
      <c r="G2" s="83" t="s">
        <v>15</v>
      </c>
    </row>
    <row r="3" spans="1:7" ht="15.75" thickBot="1">
      <c r="A3" s="78"/>
      <c r="B3" s="80"/>
      <c r="C3" s="20"/>
      <c r="D3" s="39"/>
      <c r="E3" s="80"/>
      <c r="F3" s="82"/>
      <c r="G3" s="84"/>
    </row>
    <row r="4" spans="1:7" ht="43.9" customHeight="1" thickBot="1">
      <c r="A4" s="2" t="s">
        <v>16</v>
      </c>
      <c r="B4" s="1" t="s">
        <v>17</v>
      </c>
      <c r="C4" s="1">
        <v>1587712000</v>
      </c>
      <c r="D4" s="1">
        <v>390.625</v>
      </c>
      <c r="E4" s="1">
        <f>C4*D4*10^-9</f>
        <v>620.20000000000005</v>
      </c>
      <c r="F4" s="3">
        <f>$D$7/D4*E4</f>
        <v>744.24</v>
      </c>
      <c r="G4" s="3"/>
    </row>
    <row r="5" spans="1:7" ht="43.15" customHeight="1" thickBot="1">
      <c r="A5" s="2" t="s">
        <v>18</v>
      </c>
      <c r="B5" s="1" t="s">
        <v>19</v>
      </c>
      <c r="C5" s="1">
        <v>1538560000</v>
      </c>
      <c r="D5" s="1">
        <v>390.625</v>
      </c>
      <c r="E5" s="1">
        <f>C5* D5*10^-9</f>
        <v>601</v>
      </c>
      <c r="F5" s="3">
        <f t="shared" ref="F5:F12" si="0">$D$7/D5*E5</f>
        <v>721.19999999999993</v>
      </c>
      <c r="G5" s="3"/>
    </row>
    <row r="6" spans="1:7" ht="15.75" thickBot="1">
      <c r="A6" s="2" t="s">
        <v>20</v>
      </c>
      <c r="B6" s="1" t="s">
        <v>105</v>
      </c>
      <c r="C6" s="1">
        <v>1707520000</v>
      </c>
      <c r="D6" s="1">
        <v>390.625</v>
      </c>
      <c r="E6" s="1">
        <f t="shared" ref="E6:E12" si="1">C6* D6*10^-9</f>
        <v>667</v>
      </c>
      <c r="F6" s="3">
        <f t="shared" si="0"/>
        <v>800.4</v>
      </c>
      <c r="G6" s="3"/>
    </row>
    <row r="7" spans="1:7" ht="44.45" customHeight="1" thickBot="1">
      <c r="A7" s="2" t="s">
        <v>22</v>
      </c>
      <c r="B7" s="1" t="s">
        <v>23</v>
      </c>
      <c r="C7" s="1">
        <v>63104533333</v>
      </c>
      <c r="D7" s="1">
        <v>468.75</v>
      </c>
      <c r="E7" s="1">
        <f t="shared" si="1"/>
        <v>29580.249999843752</v>
      </c>
      <c r="F7" s="3">
        <f t="shared" si="0"/>
        <v>29580.249999843752</v>
      </c>
      <c r="G7" s="3"/>
    </row>
    <row r="8" spans="1:7" ht="42" customHeight="1" thickBot="1">
      <c r="A8" s="2" t="s">
        <v>24</v>
      </c>
      <c r="B8" s="1" t="s">
        <v>25</v>
      </c>
      <c r="C8" s="1">
        <v>43353600000</v>
      </c>
      <c r="D8" s="1">
        <v>468.75</v>
      </c>
      <c r="E8" s="1">
        <f t="shared" si="1"/>
        <v>20322</v>
      </c>
      <c r="F8" s="3">
        <f t="shared" si="0"/>
        <v>20322</v>
      </c>
      <c r="G8" s="3"/>
    </row>
    <row r="9" spans="1:7" ht="39" customHeight="1" thickBot="1">
      <c r="A9" s="2" t="s">
        <v>26</v>
      </c>
      <c r="B9" s="1" t="s">
        <v>27</v>
      </c>
      <c r="C9" s="1">
        <v>12509552000</v>
      </c>
      <c r="D9" s="1">
        <v>468.75</v>
      </c>
      <c r="E9" s="1">
        <f t="shared" si="1"/>
        <v>5863.8525</v>
      </c>
      <c r="F9" s="3">
        <f t="shared" si="0"/>
        <v>5863.8525</v>
      </c>
      <c r="G9" s="3" t="s">
        <v>31</v>
      </c>
    </row>
    <row r="10" spans="1:7" ht="37.15" customHeight="1" thickBot="1">
      <c r="A10" s="2" t="s">
        <v>29</v>
      </c>
      <c r="B10" s="1" t="s">
        <v>30</v>
      </c>
      <c r="C10" s="1">
        <v>30741149000</v>
      </c>
      <c r="D10" s="1">
        <v>245.76</v>
      </c>
      <c r="E10" s="1">
        <f t="shared" si="1"/>
        <v>7554.9447782400002</v>
      </c>
      <c r="F10" s="3">
        <f t="shared" si="0"/>
        <v>14409.91359375</v>
      </c>
      <c r="G10" s="3" t="s">
        <v>31</v>
      </c>
    </row>
    <row r="11" spans="1:7" ht="35.450000000000003" customHeight="1" thickBot="1">
      <c r="A11" s="2" t="s">
        <v>32</v>
      </c>
      <c r="B11" s="1" t="s">
        <v>33</v>
      </c>
      <c r="C11" s="2">
        <v>260416667</v>
      </c>
      <c r="D11" s="1">
        <v>245.76</v>
      </c>
      <c r="E11" s="2">
        <f>C11* D11*10^-9</f>
        <v>64.000000081920007</v>
      </c>
      <c r="F11" s="3">
        <f t="shared" si="0"/>
        <v>122.07031265625001</v>
      </c>
      <c r="G11" s="3"/>
    </row>
    <row r="12" spans="1:7" ht="39" customHeight="1" thickBot="1">
      <c r="A12" s="2" t="s">
        <v>34</v>
      </c>
      <c r="B12" s="1" t="s">
        <v>35</v>
      </c>
      <c r="C12" s="1">
        <v>0</v>
      </c>
      <c r="D12" s="1">
        <v>245.76</v>
      </c>
      <c r="E12" s="1">
        <f t="shared" si="1"/>
        <v>0</v>
      </c>
      <c r="F12" s="3">
        <f t="shared" si="0"/>
        <v>0</v>
      </c>
      <c r="G12" s="3" t="s">
        <v>36</v>
      </c>
    </row>
    <row r="13" spans="1:7">
      <c r="E13" t="s">
        <v>37</v>
      </c>
      <c r="F13" s="11">
        <f>SUM(F4:F12)</f>
        <v>72563.926406250001</v>
      </c>
    </row>
    <row r="14" spans="1:7">
      <c r="E14" t="s">
        <v>38</v>
      </c>
      <c r="F14" s="12">
        <f>F13*(1/(D7*10^6))</f>
        <v>1.5480304300000001E-4</v>
      </c>
    </row>
    <row r="16" spans="1:7">
      <c r="E16" s="13" t="s">
        <v>38</v>
      </c>
      <c r="F16" s="13" t="s">
        <v>39</v>
      </c>
    </row>
  </sheetData>
  <mergeCells count="6">
    <mergeCell ref="G2:G3"/>
    <mergeCell ref="A1:G1"/>
    <mergeCell ref="A2:A3"/>
    <mergeCell ref="B2:B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8492-5C80-4997-8B2B-7826871B2ADD}">
  <sheetPr codeName="Sheet5"/>
  <dimension ref="A1:G16"/>
  <sheetViews>
    <sheetView workbookViewId="0">
      <selection activeCell="G14" sqref="G14"/>
    </sheetView>
  </sheetViews>
  <sheetFormatPr defaultRowHeight="15"/>
  <cols>
    <col min="2" max="2" width="30.85546875" customWidth="1"/>
    <col min="3" max="3" width="20.28515625" customWidth="1"/>
    <col min="4" max="4" width="28.42578125" customWidth="1"/>
    <col min="5" max="5" width="13.7109375" customWidth="1"/>
    <col min="6" max="6" width="24" customWidth="1"/>
    <col min="7" max="7" width="28" customWidth="1"/>
  </cols>
  <sheetData>
    <row r="1" spans="1:7" ht="15.6" customHeight="1" thickBot="1">
      <c r="A1" s="75" t="s">
        <v>68</v>
      </c>
      <c r="B1" s="76"/>
      <c r="C1" s="76"/>
      <c r="D1" s="76"/>
      <c r="E1" s="76"/>
      <c r="F1" s="76"/>
      <c r="G1" s="76"/>
    </row>
    <row r="2" spans="1:7" ht="74.45" customHeight="1">
      <c r="A2" s="77" t="s">
        <v>9</v>
      </c>
      <c r="B2" s="79" t="s">
        <v>10</v>
      </c>
      <c r="C2" s="19" t="s">
        <v>106</v>
      </c>
      <c r="D2" s="38" t="s">
        <v>12</v>
      </c>
      <c r="E2" s="79" t="s">
        <v>13</v>
      </c>
      <c r="F2" s="81" t="s">
        <v>14</v>
      </c>
      <c r="G2" s="83" t="s">
        <v>15</v>
      </c>
    </row>
    <row r="3" spans="1:7" ht="15.6" customHeight="1" thickBot="1">
      <c r="A3" s="78"/>
      <c r="B3" s="80"/>
      <c r="C3" s="20"/>
      <c r="D3" s="39"/>
      <c r="E3" s="80"/>
      <c r="F3" s="82"/>
      <c r="G3" s="84"/>
    </row>
    <row r="4" spans="1:7" ht="39.6" customHeight="1" thickBot="1">
      <c r="A4" s="2" t="s">
        <v>16</v>
      </c>
      <c r="B4" s="1" t="s">
        <v>107</v>
      </c>
      <c r="C4" s="1">
        <v>27302000</v>
      </c>
      <c r="D4" s="1">
        <v>390.625</v>
      </c>
      <c r="E4" s="1">
        <f t="shared" ref="E4:E12" si="0">C4* D4*10^-9</f>
        <v>10.664843750000001</v>
      </c>
      <c r="F4" s="3">
        <f t="shared" ref="F4:F12" si="1">$D$8/D4*E4</f>
        <v>6.8255000000000008</v>
      </c>
      <c r="G4" s="3"/>
    </row>
    <row r="5" spans="1:7" ht="37.9" customHeight="1" thickBot="1">
      <c r="A5" s="2" t="s">
        <v>108</v>
      </c>
      <c r="B5" s="1" t="s">
        <v>109</v>
      </c>
      <c r="C5" s="1">
        <v>14892000</v>
      </c>
      <c r="D5" s="1">
        <v>390.625</v>
      </c>
      <c r="E5" s="1">
        <f t="shared" si="0"/>
        <v>5.8171875000000002</v>
      </c>
      <c r="F5" s="3">
        <f t="shared" si="1"/>
        <v>3.7230000000000003</v>
      </c>
      <c r="G5" s="3"/>
    </row>
    <row r="6" spans="1:7" ht="40.15" customHeight="1" thickBot="1">
      <c r="A6" s="8" t="s">
        <v>20</v>
      </c>
      <c r="B6" s="4" t="s">
        <v>110</v>
      </c>
      <c r="C6" s="4">
        <v>109208000</v>
      </c>
      <c r="D6" s="1">
        <v>390.625</v>
      </c>
      <c r="E6" s="4">
        <f t="shared" si="0"/>
        <v>42.659375000000004</v>
      </c>
      <c r="F6" s="3">
        <f t="shared" si="1"/>
        <v>27.302000000000003</v>
      </c>
      <c r="G6" s="3"/>
    </row>
    <row r="7" spans="1:7" ht="48" customHeight="1" thickBot="1">
      <c r="A7" s="6" t="s">
        <v>111</v>
      </c>
      <c r="B7" s="9" t="s">
        <v>112</v>
      </c>
      <c r="C7" s="9">
        <v>17374000</v>
      </c>
      <c r="D7" s="1">
        <v>390.625</v>
      </c>
      <c r="E7" s="10">
        <f t="shared" si="0"/>
        <v>6.7867187500000004</v>
      </c>
      <c r="F7" s="3">
        <f t="shared" si="1"/>
        <v>4.3435000000000006</v>
      </c>
      <c r="G7" s="3"/>
    </row>
    <row r="8" spans="1:7" ht="40.9" customHeight="1" thickBot="1">
      <c r="A8" s="2" t="s">
        <v>26</v>
      </c>
      <c r="B8" s="1" t="s">
        <v>113</v>
      </c>
      <c r="C8" s="1">
        <v>17504000000</v>
      </c>
      <c r="D8" s="1">
        <v>250</v>
      </c>
      <c r="E8" s="1">
        <f t="shared" si="0"/>
        <v>4376</v>
      </c>
      <c r="F8" s="3">
        <f t="shared" si="1"/>
        <v>4376</v>
      </c>
      <c r="G8" s="3" t="s">
        <v>114</v>
      </c>
    </row>
    <row r="9" spans="1:7" ht="39" customHeight="1" thickBot="1">
      <c r="A9" s="2" t="s">
        <v>115</v>
      </c>
      <c r="B9" s="1" t="s">
        <v>116</v>
      </c>
      <c r="C9" s="1">
        <v>8140000</v>
      </c>
      <c r="D9" s="1">
        <v>468.75</v>
      </c>
      <c r="E9" s="1">
        <f t="shared" si="0"/>
        <v>3.8156250000000003</v>
      </c>
      <c r="F9" s="3">
        <f t="shared" si="1"/>
        <v>2.0350000000000001</v>
      </c>
      <c r="G9" s="3"/>
    </row>
    <row r="10" spans="1:7" ht="40.9" customHeight="1" thickBot="1">
      <c r="A10" s="40" t="s">
        <v>32</v>
      </c>
      <c r="B10" s="7" t="s">
        <v>117</v>
      </c>
      <c r="C10" s="5">
        <v>30268151000</v>
      </c>
      <c r="D10" s="1">
        <v>468.75</v>
      </c>
      <c r="E10" s="5">
        <f t="shared" si="0"/>
        <v>14188.19578125</v>
      </c>
      <c r="F10" s="3">
        <f t="shared" si="1"/>
        <v>7567.0377500000004</v>
      </c>
      <c r="G10" s="3" t="s">
        <v>31</v>
      </c>
    </row>
    <row r="11" spans="1:7" ht="36" customHeight="1" thickBot="1">
      <c r="A11" s="2" t="s">
        <v>34</v>
      </c>
      <c r="B11" s="1" t="s">
        <v>118</v>
      </c>
      <c r="C11" s="5">
        <v>260416667</v>
      </c>
      <c r="D11" s="5">
        <v>245.76</v>
      </c>
      <c r="E11" s="5">
        <f t="shared" si="0"/>
        <v>64.000000081920007</v>
      </c>
      <c r="F11" s="3">
        <f t="shared" si="1"/>
        <v>65.104166750000019</v>
      </c>
      <c r="G11" s="3"/>
    </row>
    <row r="12" spans="1:7" ht="44.45" customHeight="1" thickBot="1">
      <c r="A12" s="2" t="s">
        <v>119</v>
      </c>
      <c r="B12" s="1" t="s">
        <v>35</v>
      </c>
      <c r="C12" s="5">
        <v>0</v>
      </c>
      <c r="D12" s="5">
        <v>245.76</v>
      </c>
      <c r="E12" s="5">
        <f t="shared" si="0"/>
        <v>0</v>
      </c>
      <c r="F12" s="3">
        <f t="shared" si="1"/>
        <v>0</v>
      </c>
      <c r="G12" s="3" t="s">
        <v>36</v>
      </c>
    </row>
    <row r="13" spans="1:7">
      <c r="E13" t="s">
        <v>37</v>
      </c>
      <c r="F13" s="11">
        <f>SUM(F4:F12)</f>
        <v>12052.37091675</v>
      </c>
    </row>
    <row r="14" spans="1:7">
      <c r="E14" t="s">
        <v>38</v>
      </c>
      <c r="F14" s="12">
        <f>F13*(1/(D7*10^6))</f>
        <v>3.0854069546880001E-5</v>
      </c>
    </row>
    <row r="16" spans="1:7">
      <c r="E16" s="13" t="s">
        <v>38</v>
      </c>
      <c r="F16" s="13" t="s">
        <v>120</v>
      </c>
    </row>
  </sheetData>
  <mergeCells count="6">
    <mergeCell ref="A1:G1"/>
    <mergeCell ref="A2:A3"/>
    <mergeCell ref="B2:B3"/>
    <mergeCell ref="E2:E3"/>
    <mergeCell ref="F2:F3"/>
    <mergeCell ref="G2:G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640B-7F6E-4565-8E62-23F435233C53}">
  <sheetPr codeName="Sheet6"/>
  <dimension ref="A1:G16"/>
  <sheetViews>
    <sheetView zoomScale="70" zoomScaleNormal="70" workbookViewId="0">
      <selection activeCell="C8" sqref="C8"/>
    </sheetView>
  </sheetViews>
  <sheetFormatPr defaultRowHeight="15"/>
  <cols>
    <col min="2" max="2" width="30.85546875" customWidth="1"/>
    <col min="3" max="3" width="20.28515625" customWidth="1"/>
    <col min="4" max="4" width="28.42578125" customWidth="1"/>
    <col min="5" max="5" width="13.7109375" customWidth="1"/>
    <col min="6" max="6" width="24" customWidth="1"/>
    <col min="7" max="7" width="28" customWidth="1"/>
  </cols>
  <sheetData>
    <row r="1" spans="1:7" ht="15.6" customHeight="1" thickBot="1">
      <c r="A1" s="75" t="s">
        <v>68</v>
      </c>
      <c r="B1" s="76"/>
      <c r="C1" s="76"/>
      <c r="D1" s="76"/>
      <c r="E1" s="76"/>
      <c r="F1" s="76"/>
      <c r="G1" s="76"/>
    </row>
    <row r="2" spans="1:7" ht="74.45" customHeight="1">
      <c r="A2" s="77" t="s">
        <v>9</v>
      </c>
      <c r="B2" s="79" t="s">
        <v>10</v>
      </c>
      <c r="C2" s="19" t="s">
        <v>106</v>
      </c>
      <c r="D2" s="38" t="s">
        <v>12</v>
      </c>
      <c r="E2" s="79" t="s">
        <v>13</v>
      </c>
      <c r="F2" s="81" t="s">
        <v>14</v>
      </c>
      <c r="G2" s="83" t="s">
        <v>15</v>
      </c>
    </row>
    <row r="3" spans="1:7" ht="15.6" customHeight="1" thickBot="1">
      <c r="A3" s="78"/>
      <c r="B3" s="80"/>
      <c r="C3" s="20"/>
      <c r="D3" s="39"/>
      <c r="E3" s="80"/>
      <c r="F3" s="82"/>
      <c r="G3" s="84"/>
    </row>
    <row r="4" spans="1:7" ht="39.6" customHeight="1" thickBot="1">
      <c r="A4" s="2" t="s">
        <v>16</v>
      </c>
      <c r="B4" s="1" t="s">
        <v>107</v>
      </c>
      <c r="C4" s="1">
        <v>27302000</v>
      </c>
      <c r="D4" s="1">
        <v>390.625</v>
      </c>
      <c r="E4" s="1">
        <f t="shared" ref="E4:E12" si="0">C4* D4*10^-9</f>
        <v>10.664843750000001</v>
      </c>
      <c r="F4" s="3">
        <f>$D$8/D4*E4</f>
        <v>12.797812500000001</v>
      </c>
      <c r="G4" s="3"/>
    </row>
    <row r="5" spans="1:7" ht="37.9" customHeight="1" thickBot="1">
      <c r="A5" s="2" t="s">
        <v>108</v>
      </c>
      <c r="B5" s="1" t="s">
        <v>109</v>
      </c>
      <c r="C5" s="1">
        <v>14892000</v>
      </c>
      <c r="D5" s="1">
        <v>390.625</v>
      </c>
      <c r="E5" s="1">
        <f t="shared" si="0"/>
        <v>5.8171875000000002</v>
      </c>
      <c r="F5" s="3">
        <f t="shared" ref="F5:F12" si="1">$D$8/D5*E5</f>
        <v>6.9806249999999999</v>
      </c>
      <c r="G5" s="3"/>
    </row>
    <row r="6" spans="1:7" ht="40.15" customHeight="1" thickBot="1">
      <c r="A6" s="8" t="s">
        <v>20</v>
      </c>
      <c r="B6" s="4" t="s">
        <v>110</v>
      </c>
      <c r="C6" s="4">
        <v>109208000</v>
      </c>
      <c r="D6" s="1">
        <v>390.625</v>
      </c>
      <c r="E6" s="4">
        <f t="shared" si="0"/>
        <v>42.659375000000004</v>
      </c>
      <c r="F6" s="3">
        <f t="shared" si="1"/>
        <v>51.191250000000004</v>
      </c>
      <c r="G6" s="3"/>
    </row>
    <row r="7" spans="1:7" ht="48" customHeight="1" thickBot="1">
      <c r="A7" s="6" t="s">
        <v>111</v>
      </c>
      <c r="B7" s="9" t="s">
        <v>112</v>
      </c>
      <c r="C7" s="9">
        <v>17374000</v>
      </c>
      <c r="D7" s="1">
        <v>390.625</v>
      </c>
      <c r="E7" s="10">
        <f t="shared" si="0"/>
        <v>6.7867187500000004</v>
      </c>
      <c r="F7" s="3">
        <f t="shared" si="1"/>
        <v>8.1440625000000004</v>
      </c>
      <c r="G7" s="3"/>
    </row>
    <row r="8" spans="1:7" ht="40.9" customHeight="1" thickBot="1">
      <c r="A8" s="2" t="s">
        <v>26</v>
      </c>
      <c r="B8" s="1" t="s">
        <v>113</v>
      </c>
      <c r="C8" s="1">
        <v>14165228000</v>
      </c>
      <c r="D8" s="1">
        <v>468.75</v>
      </c>
      <c r="E8" s="1">
        <f t="shared" si="0"/>
        <v>6639.9506250000004</v>
      </c>
      <c r="F8" s="3">
        <f t="shared" si="1"/>
        <v>6639.9506250000004</v>
      </c>
      <c r="G8" s="3" t="s">
        <v>31</v>
      </c>
    </row>
    <row r="9" spans="1:7" ht="39" customHeight="1" thickBot="1">
      <c r="A9" s="2" t="s">
        <v>115</v>
      </c>
      <c r="B9" s="1" t="s">
        <v>116</v>
      </c>
      <c r="C9" s="1">
        <v>8140000</v>
      </c>
      <c r="D9" s="1">
        <v>468.75</v>
      </c>
      <c r="E9" s="1">
        <f t="shared" si="0"/>
        <v>3.8156250000000003</v>
      </c>
      <c r="F9" s="3">
        <f t="shared" si="1"/>
        <v>3.8156250000000003</v>
      </c>
      <c r="G9" s="3"/>
    </row>
    <row r="10" spans="1:7" ht="40.9" customHeight="1" thickBot="1">
      <c r="A10" s="40" t="s">
        <v>32</v>
      </c>
      <c r="B10" s="7" t="s">
        <v>117</v>
      </c>
      <c r="C10" s="5">
        <v>30268151000</v>
      </c>
      <c r="D10" s="1">
        <v>468.75</v>
      </c>
      <c r="E10" s="5">
        <f t="shared" si="0"/>
        <v>14188.19578125</v>
      </c>
      <c r="F10" s="3">
        <f t="shared" si="1"/>
        <v>14188.19578125</v>
      </c>
      <c r="G10" s="3" t="s">
        <v>31</v>
      </c>
    </row>
    <row r="11" spans="1:7" ht="36" customHeight="1" thickBot="1">
      <c r="A11" s="2" t="s">
        <v>34</v>
      </c>
      <c r="B11" s="1" t="s">
        <v>118</v>
      </c>
      <c r="C11" s="5">
        <v>260416667</v>
      </c>
      <c r="D11" s="5">
        <v>245.76</v>
      </c>
      <c r="E11" s="5">
        <f t="shared" si="0"/>
        <v>64.000000081920007</v>
      </c>
      <c r="F11" s="3">
        <f t="shared" si="1"/>
        <v>122.07031265625001</v>
      </c>
      <c r="G11" s="3"/>
    </row>
    <row r="12" spans="1:7" ht="44.45" customHeight="1" thickBot="1">
      <c r="A12" s="2" t="s">
        <v>119</v>
      </c>
      <c r="B12" s="1" t="s">
        <v>35</v>
      </c>
      <c r="C12" s="5">
        <v>0</v>
      </c>
      <c r="D12" s="5">
        <v>245.76</v>
      </c>
      <c r="E12" s="5">
        <f t="shared" si="0"/>
        <v>0</v>
      </c>
      <c r="F12" s="3">
        <f t="shared" si="1"/>
        <v>0</v>
      </c>
      <c r="G12" s="3" t="s">
        <v>36</v>
      </c>
    </row>
    <row r="13" spans="1:7">
      <c r="E13" t="s">
        <v>37</v>
      </c>
      <c r="F13" s="11">
        <f>SUM(F4:F12)</f>
        <v>21033.146093906253</v>
      </c>
    </row>
    <row r="14" spans="1:7">
      <c r="E14" t="s">
        <v>38</v>
      </c>
      <c r="F14" s="12">
        <f>F13*(1/(D7*10^6))</f>
        <v>5.38448540004E-5</v>
      </c>
    </row>
    <row r="16" spans="1:7">
      <c r="E16" s="13" t="s">
        <v>38</v>
      </c>
      <c r="F16" s="13" t="s">
        <v>120</v>
      </c>
    </row>
  </sheetData>
  <mergeCells count="6">
    <mergeCell ref="A1:G1"/>
    <mergeCell ref="A2:A3"/>
    <mergeCell ref="B2:B3"/>
    <mergeCell ref="E2:E3"/>
    <mergeCell ref="F2:F3"/>
    <mergeCell ref="G2:G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68C6-CD0A-4301-8A81-6DB1CF7FB627}">
  <sheetPr codeName="Sheet7"/>
  <dimension ref="A1:AC18"/>
  <sheetViews>
    <sheetView zoomScale="68" zoomScaleNormal="68" workbookViewId="0">
      <selection activeCell="E14" sqref="E14"/>
    </sheetView>
  </sheetViews>
  <sheetFormatPr defaultColWidth="8.85546875" defaultRowHeight="15"/>
  <cols>
    <col min="1" max="1" width="8.85546875" style="21"/>
    <col min="2" max="3" width="26.28515625" style="21" customWidth="1"/>
    <col min="4" max="6" width="20.28515625" style="21" customWidth="1"/>
    <col min="7" max="12" width="20.7109375" style="21" customWidth="1"/>
    <col min="13" max="13" width="55.5703125" style="21" customWidth="1"/>
    <col min="14" max="16384" width="8.85546875" style="21"/>
  </cols>
  <sheetData>
    <row r="1" spans="1:29" ht="15.75" customHeight="1">
      <c r="A1" s="96" t="s">
        <v>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29" ht="74.45" customHeight="1">
      <c r="A2" s="96" t="s">
        <v>9</v>
      </c>
      <c r="B2" s="96" t="s">
        <v>10</v>
      </c>
      <c r="C2" s="97" t="s">
        <v>121</v>
      </c>
      <c r="D2" s="25" t="s">
        <v>122</v>
      </c>
      <c r="E2" s="25" t="s">
        <v>123</v>
      </c>
      <c r="F2" s="25" t="s">
        <v>124</v>
      </c>
      <c r="G2" s="25" t="s">
        <v>125</v>
      </c>
      <c r="H2" s="25" t="s">
        <v>123</v>
      </c>
      <c r="I2" s="25" t="s">
        <v>124</v>
      </c>
      <c r="J2" s="25" t="s">
        <v>125</v>
      </c>
      <c r="K2" s="97" t="s">
        <v>15</v>
      </c>
    </row>
    <row r="3" spans="1:29" ht="14.45" customHeight="1">
      <c r="A3" s="96"/>
      <c r="B3" s="96"/>
      <c r="C3" s="98"/>
      <c r="D3" s="26"/>
      <c r="E3" s="96" t="s">
        <v>126</v>
      </c>
      <c r="F3" s="96"/>
      <c r="G3" s="96"/>
      <c r="H3" s="96" t="s">
        <v>127</v>
      </c>
      <c r="I3" s="96"/>
      <c r="J3" s="96"/>
      <c r="K3" s="98"/>
    </row>
    <row r="4" spans="1:29" ht="43.9" customHeight="1">
      <c r="A4" s="23" t="s">
        <v>16</v>
      </c>
      <c r="B4" s="23" t="s">
        <v>17</v>
      </c>
      <c r="C4" s="23">
        <v>49640000</v>
      </c>
      <c r="D4" s="23">
        <v>49997226666</v>
      </c>
      <c r="E4" s="23">
        <f>C4/10^9</f>
        <v>4.9639999999999997E-2</v>
      </c>
      <c r="F4" s="23">
        <f>C4/10^9</f>
        <v>4.9639999999999997E-2</v>
      </c>
      <c r="G4" s="23">
        <f>C4/10^9</f>
        <v>4.9639999999999997E-2</v>
      </c>
      <c r="H4" s="23">
        <f>D4/10^9</f>
        <v>49.997226666000003</v>
      </c>
      <c r="I4" s="23">
        <f>D4/10^9</f>
        <v>49.997226666000003</v>
      </c>
      <c r="J4" s="23">
        <f>D4/10^9</f>
        <v>49.997226666000003</v>
      </c>
      <c r="K4" s="23"/>
    </row>
    <row r="5" spans="1:29" ht="43.15" customHeight="1">
      <c r="A5" s="23" t="s">
        <v>18</v>
      </c>
      <c r="B5" s="23" t="s">
        <v>19</v>
      </c>
      <c r="C5" s="23">
        <v>2482000</v>
      </c>
      <c r="D5" s="23">
        <v>153856000</v>
      </c>
      <c r="E5" s="23">
        <f>C5/10^9</f>
        <v>2.4819999999999998E-3</v>
      </c>
      <c r="F5" s="23">
        <f>C5/10^9</f>
        <v>2.4819999999999998E-3</v>
      </c>
      <c r="G5" s="23">
        <f>C5/10^9</f>
        <v>2.4819999999999998E-3</v>
      </c>
      <c r="H5" s="23">
        <f t="shared" ref="H5:H9" si="0">D5/10^9</f>
        <v>0.15385599999999999</v>
      </c>
      <c r="I5" s="23">
        <f>D5/10^9</f>
        <v>0.15385599999999999</v>
      </c>
      <c r="J5" s="23">
        <f>D5/10^9</f>
        <v>0.15385599999999999</v>
      </c>
      <c r="K5" s="23"/>
      <c r="Z5" s="21">
        <v>100</v>
      </c>
      <c r="AA5" s="21">
        <v>20</v>
      </c>
      <c r="AB5" s="21">
        <v>10</v>
      </c>
      <c r="AC5" s="21">
        <v>5</v>
      </c>
    </row>
    <row r="6" spans="1:29" ht="38.450000000000003" customHeight="1">
      <c r="A6" s="23" t="s">
        <v>20</v>
      </c>
      <c r="B6" s="23" t="s">
        <v>21</v>
      </c>
      <c r="C6" s="23">
        <v>168776000</v>
      </c>
      <c r="D6" s="23">
        <v>1707520000</v>
      </c>
      <c r="E6" s="23">
        <f>C6/10^9</f>
        <v>0.16877600000000001</v>
      </c>
      <c r="F6" s="23">
        <f>C6/10^9</f>
        <v>0.16877600000000001</v>
      </c>
      <c r="G6" s="23">
        <f>C6/10^9</f>
        <v>0.16877600000000001</v>
      </c>
      <c r="H6" s="23">
        <f t="shared" si="0"/>
        <v>1.7075199999999999</v>
      </c>
      <c r="I6" s="23">
        <f>D6/10^9</f>
        <v>1.7075199999999999</v>
      </c>
      <c r="J6" s="23">
        <f>D6/10^9</f>
        <v>1.7075199999999999</v>
      </c>
      <c r="K6" s="23"/>
      <c r="Z6" s="21">
        <v>3276</v>
      </c>
      <c r="AA6" s="21">
        <v>1200</v>
      </c>
      <c r="AB6" s="21">
        <v>600</v>
      </c>
      <c r="AC6" s="21">
        <v>300</v>
      </c>
    </row>
    <row r="7" spans="1:29" ht="44.45" customHeight="1">
      <c r="A7" s="23" t="s">
        <v>22</v>
      </c>
      <c r="B7" s="23" t="s">
        <v>23</v>
      </c>
      <c r="C7" s="23">
        <f>17477579000</f>
        <v>17477579000</v>
      </c>
      <c r="D7" s="23">
        <v>63104533333</v>
      </c>
      <c r="E7" s="23">
        <f>(C7/2.73)/10^9</f>
        <v>6.402043589743589</v>
      </c>
      <c r="F7" s="23">
        <f>(C7/5.46)/10^9</f>
        <v>3.2010217948717945</v>
      </c>
      <c r="G7" s="23">
        <f>(C7/10.92)/10^9</f>
        <v>1.6005108974358973</v>
      </c>
      <c r="H7" s="23">
        <f t="shared" si="0"/>
        <v>63.104533332999999</v>
      </c>
      <c r="I7" s="23">
        <f>(D7/2)/10^9</f>
        <v>31.5522666665</v>
      </c>
      <c r="J7" s="23">
        <f>(D7/4)/10^9</f>
        <v>15.77613333325</v>
      </c>
      <c r="K7" s="23" t="s">
        <v>128</v>
      </c>
      <c r="Z7" s="21">
        <f>Z6/AA6</f>
        <v>2.73</v>
      </c>
      <c r="AA7" s="21">
        <v>2.73</v>
      </c>
      <c r="AB7" s="21">
        <f>Z6/AB6</f>
        <v>5.46</v>
      </c>
      <c r="AC7" s="21">
        <f>Z6/AC6</f>
        <v>10.92</v>
      </c>
    </row>
    <row r="8" spans="1:29" ht="42" customHeight="1">
      <c r="A8" s="23" t="s">
        <v>24</v>
      </c>
      <c r="B8" s="23" t="s">
        <v>25</v>
      </c>
      <c r="C8" s="23">
        <v>8140000</v>
      </c>
      <c r="D8" s="23">
        <v>43353600000</v>
      </c>
      <c r="E8" s="23">
        <f>C8/10^9</f>
        <v>8.1399999999999997E-3</v>
      </c>
      <c r="F8" s="23">
        <f>C8/10^9</f>
        <v>8.1399999999999997E-3</v>
      </c>
      <c r="G8" s="23">
        <f>C8/10^9</f>
        <v>8.1399999999999997E-3</v>
      </c>
      <c r="H8" s="23">
        <f t="shared" si="0"/>
        <v>43.3536</v>
      </c>
      <c r="I8" s="23">
        <f>D8/10^9</f>
        <v>43.3536</v>
      </c>
      <c r="J8" s="23">
        <f>D8/10^9</f>
        <v>43.3536</v>
      </c>
      <c r="K8" s="23"/>
      <c r="AA8" s="21">
        <f>AA6/AB6</f>
        <v>2</v>
      </c>
    </row>
    <row r="9" spans="1:29" ht="39" customHeight="1">
      <c r="A9" s="23" t="s">
        <v>26</v>
      </c>
      <c r="B9" s="23" t="s">
        <v>27</v>
      </c>
      <c r="C9" s="23">
        <v>7372800000</v>
      </c>
      <c r="D9" s="27">
        <v>52864000000</v>
      </c>
      <c r="E9" s="23">
        <f>(C9)/10^9</f>
        <v>7.3727999999999998</v>
      </c>
      <c r="F9" s="23">
        <f>(C9/2)/10^9</f>
        <v>3.6863999999999999</v>
      </c>
      <c r="G9" s="23">
        <f>(C9/4)/10^9</f>
        <v>1.8431999999999999</v>
      </c>
      <c r="H9" s="23">
        <f t="shared" si="0"/>
        <v>52.863999999999997</v>
      </c>
      <c r="I9" s="23">
        <f>(D9/2)/10^9</f>
        <v>26.431999999999999</v>
      </c>
      <c r="J9" s="23">
        <f>(D9/4)/10^9</f>
        <v>13.215999999999999</v>
      </c>
      <c r="K9" s="23"/>
      <c r="Z9" s="21">
        <v>4096</v>
      </c>
      <c r="AA9" s="21">
        <v>2048</v>
      </c>
      <c r="AB9" s="21">
        <v>1024</v>
      </c>
      <c r="AC9" s="21">
        <v>512</v>
      </c>
    </row>
    <row r="10" spans="1:29" ht="255">
      <c r="A10" s="23" t="s">
        <v>29</v>
      </c>
      <c r="B10" s="23" t="s">
        <v>30</v>
      </c>
      <c r="C10" s="23">
        <f>30741149000</f>
        <v>30741149000</v>
      </c>
      <c r="D10" s="23">
        <v>1244783151000</v>
      </c>
      <c r="E10" s="23">
        <f>(C10/2)/10^9</f>
        <v>15.3705745</v>
      </c>
      <c r="F10" s="23">
        <f>(C10/4)/10^9</f>
        <v>7.68528725</v>
      </c>
      <c r="G10" s="23">
        <f>(C10/8)/10^9</f>
        <v>3.842643625</v>
      </c>
      <c r="H10" s="23">
        <f>(D10/2)/10^9</f>
        <v>622.39157550000004</v>
      </c>
      <c r="I10" s="23">
        <f>(D10/4)/10^9</f>
        <v>311.19578775000002</v>
      </c>
      <c r="J10" s="23">
        <f>(D10/8)/10^9</f>
        <v>155.59789387500001</v>
      </c>
      <c r="K10" s="23" t="s">
        <v>129</v>
      </c>
      <c r="Z10" s="21">
        <f>Z9/AB9</f>
        <v>4</v>
      </c>
      <c r="AC10" s="21">
        <f>Z9/AC9</f>
        <v>8</v>
      </c>
    </row>
    <row r="11" spans="1:29" ht="35.450000000000003" customHeight="1">
      <c r="A11" s="23" t="s">
        <v>32</v>
      </c>
      <c r="B11" s="23" t="s">
        <v>33</v>
      </c>
      <c r="C11" s="23">
        <v>260416667</v>
      </c>
      <c r="D11" s="23">
        <v>2343750003</v>
      </c>
      <c r="E11" s="23">
        <f>C11/10^9</f>
        <v>0.26041666699999999</v>
      </c>
      <c r="F11" s="23">
        <f>C11/10^9</f>
        <v>0.26041666699999999</v>
      </c>
      <c r="G11" s="23">
        <f>C11/10^9</f>
        <v>0.26041666699999999</v>
      </c>
      <c r="H11" s="23">
        <f>D11/10^9</f>
        <v>2.3437500029999998</v>
      </c>
      <c r="I11" s="23">
        <f>D11/10^9</f>
        <v>2.3437500029999998</v>
      </c>
      <c r="J11" s="23">
        <f>D11/10^9</f>
        <v>2.3437500029999998</v>
      </c>
      <c r="K11" s="23"/>
    </row>
    <row r="12" spans="1:29" ht="39" customHeight="1">
      <c r="A12" s="23" t="s">
        <v>34</v>
      </c>
      <c r="B12" s="23" t="s">
        <v>35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 t="s">
        <v>36</v>
      </c>
    </row>
    <row r="13" spans="1:29" ht="39" customHeight="1">
      <c r="A13" s="23">
        <v>10</v>
      </c>
      <c r="B13" s="23" t="s">
        <v>130</v>
      </c>
      <c r="C13" s="23">
        <v>0</v>
      </c>
      <c r="D13" s="23">
        <v>0</v>
      </c>
      <c r="E13" s="23">
        <f>0.21/2</f>
        <v>0.105</v>
      </c>
      <c r="F13" s="23">
        <f>0.21/2</f>
        <v>0.105</v>
      </c>
      <c r="G13" s="23">
        <f>0.21/2</f>
        <v>0.105</v>
      </c>
      <c r="H13" s="23">
        <v>0</v>
      </c>
      <c r="I13" s="23">
        <v>0</v>
      </c>
      <c r="J13" s="23">
        <v>0</v>
      </c>
      <c r="K13" s="23" t="s">
        <v>131</v>
      </c>
    </row>
    <row r="14" spans="1:29" ht="45.6" customHeight="1">
      <c r="A14" s="85" t="s">
        <v>132</v>
      </c>
      <c r="B14" s="85"/>
      <c r="C14" s="23">
        <f>SUM(C4:C13)</f>
        <v>56080982667</v>
      </c>
      <c r="D14" s="23">
        <f>SUM(D4:D13)</f>
        <v>1458307637002</v>
      </c>
      <c r="E14" s="23">
        <f>SUM(E4:E13)</f>
        <v>29.739872756743591</v>
      </c>
      <c r="F14" s="23">
        <f t="shared" ref="F14:G14" si="1">SUM(F4:F13)</f>
        <v>15.167163711871794</v>
      </c>
      <c r="G14" s="23">
        <f t="shared" si="1"/>
        <v>7.8808091894358983</v>
      </c>
      <c r="H14" s="23">
        <f>SUM(H4:H13)</f>
        <v>835.91606150200005</v>
      </c>
      <c r="I14" s="23">
        <f t="shared" ref="I14:J14" si="2">SUM(I4:I13)</f>
        <v>466.73600708550003</v>
      </c>
      <c r="J14" s="23">
        <f t="shared" si="2"/>
        <v>282.14597987725</v>
      </c>
      <c r="K14" s="23"/>
    </row>
    <row r="17" spans="4:6">
      <c r="D17" s="22"/>
      <c r="E17" s="22"/>
      <c r="F17" s="22"/>
    </row>
    <row r="18" spans="4:6">
      <c r="D18" s="23"/>
      <c r="E18" s="28"/>
    </row>
  </sheetData>
  <mergeCells count="8">
    <mergeCell ref="A14:B14"/>
    <mergeCell ref="A1:M1"/>
    <mergeCell ref="A2:A3"/>
    <mergeCell ref="B2:B3"/>
    <mergeCell ref="C2:C3"/>
    <mergeCell ref="K2:K3"/>
    <mergeCell ref="E3:G3"/>
    <mergeCell ref="H3:J3"/>
  </mergeCells>
  <pageMargins left="0.7" right="0.7" top="0.75" bottom="0.75" header="0.3" footer="0.3"/>
  <pageSetup paperSize="9" orientation="portrait" r:id="rId1"/>
  <ignoredErrors>
    <ignoredError sqref="E7:G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0BA3-8B22-4049-AD40-15B2B1E46427}">
  <sheetPr codeName="Sheet8"/>
  <dimension ref="A1:K14"/>
  <sheetViews>
    <sheetView zoomScale="70" zoomScaleNormal="70" workbookViewId="0">
      <selection activeCell="D5" sqref="D5"/>
    </sheetView>
  </sheetViews>
  <sheetFormatPr defaultColWidth="8.85546875" defaultRowHeight="15"/>
  <cols>
    <col min="1" max="1" width="8.85546875" style="21"/>
    <col min="2" max="2" width="28.5703125" style="21" bestFit="1" customWidth="1"/>
    <col min="3" max="4" width="20.28515625" style="21" customWidth="1"/>
    <col min="5" max="10" width="15" style="21" customWidth="1"/>
    <col min="11" max="11" width="57.28515625" style="21" customWidth="1"/>
    <col min="12" max="16384" width="8.85546875" style="21"/>
  </cols>
  <sheetData>
    <row r="1" spans="1:11" ht="15.6" customHeight="1">
      <c r="A1" s="96" t="s">
        <v>68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74.45" customHeight="1">
      <c r="A2" s="96" t="s">
        <v>9</v>
      </c>
      <c r="B2" s="96" t="s">
        <v>10</v>
      </c>
      <c r="C2" s="97" t="s">
        <v>121</v>
      </c>
      <c r="D2" s="97" t="s">
        <v>122</v>
      </c>
      <c r="E2" s="24" t="s">
        <v>123</v>
      </c>
      <c r="F2" s="24" t="s">
        <v>124</v>
      </c>
      <c r="G2" s="24" t="s">
        <v>125</v>
      </c>
      <c r="H2" s="24" t="s">
        <v>123</v>
      </c>
      <c r="I2" s="24" t="s">
        <v>124</v>
      </c>
      <c r="J2" s="24" t="s">
        <v>125</v>
      </c>
      <c r="K2" s="96" t="s">
        <v>15</v>
      </c>
    </row>
    <row r="3" spans="1:11" ht="15.6" customHeight="1">
      <c r="A3" s="96"/>
      <c r="B3" s="96"/>
      <c r="C3" s="98"/>
      <c r="D3" s="98"/>
      <c r="E3" s="99" t="s">
        <v>133</v>
      </c>
      <c r="F3" s="100"/>
      <c r="G3" s="101"/>
      <c r="H3" s="99" t="s">
        <v>127</v>
      </c>
      <c r="I3" s="100"/>
      <c r="J3" s="101"/>
      <c r="K3" s="96"/>
    </row>
    <row r="4" spans="1:11" ht="39.6" customHeight="1">
      <c r="A4" s="23" t="s">
        <v>16</v>
      </c>
      <c r="B4" s="23" t="s">
        <v>107</v>
      </c>
      <c r="C4" s="23">
        <v>27302000</v>
      </c>
      <c r="D4" s="23">
        <v>192000000</v>
      </c>
      <c r="E4" s="23">
        <f>C4/10^9</f>
        <v>2.7302E-2</v>
      </c>
      <c r="F4" s="23">
        <f>C4/10^9</f>
        <v>2.7302E-2</v>
      </c>
      <c r="G4" s="23">
        <f t="shared" ref="G4:H7" si="0">C4/10^9</f>
        <v>2.7302E-2</v>
      </c>
      <c r="H4" s="23">
        <f t="shared" si="0"/>
        <v>0.192</v>
      </c>
      <c r="I4" s="23">
        <f>D4/10^9</f>
        <v>0.192</v>
      </c>
      <c r="J4" s="23">
        <f>D4/10^9</f>
        <v>0.192</v>
      </c>
      <c r="K4" s="23"/>
    </row>
    <row r="5" spans="1:11" ht="37.9" customHeight="1">
      <c r="A5" s="23" t="s">
        <v>108</v>
      </c>
      <c r="B5" s="23" t="s">
        <v>109</v>
      </c>
      <c r="C5" s="23">
        <v>14892000</v>
      </c>
      <c r="D5" s="23">
        <v>168960000</v>
      </c>
      <c r="E5" s="23">
        <f>C5/10^9</f>
        <v>1.4892000000000001E-2</v>
      </c>
      <c r="F5" s="23">
        <f>C5/10^9</f>
        <v>1.4892000000000001E-2</v>
      </c>
      <c r="G5" s="23">
        <f t="shared" si="0"/>
        <v>1.4892000000000001E-2</v>
      </c>
      <c r="H5" s="23">
        <f t="shared" si="0"/>
        <v>0.16896</v>
      </c>
      <c r="I5" s="23">
        <f>D5/10^9</f>
        <v>0.16896</v>
      </c>
      <c r="J5" s="23">
        <f>D5/10^9</f>
        <v>0.16896</v>
      </c>
      <c r="K5" s="23"/>
    </row>
    <row r="6" spans="1:11" ht="40.15" customHeight="1">
      <c r="A6" s="23" t="s">
        <v>20</v>
      </c>
      <c r="B6" s="23" t="s">
        <v>134</v>
      </c>
      <c r="C6" s="23">
        <v>109208000</v>
      </c>
      <c r="D6" s="23">
        <v>266240000</v>
      </c>
      <c r="E6" s="23">
        <f>C6/10^9</f>
        <v>0.109208</v>
      </c>
      <c r="F6" s="23">
        <f>C6/10^9</f>
        <v>0.109208</v>
      </c>
      <c r="G6" s="23">
        <f t="shared" si="0"/>
        <v>0.109208</v>
      </c>
      <c r="H6" s="23">
        <f t="shared" si="0"/>
        <v>0.26623999999999998</v>
      </c>
      <c r="I6" s="23">
        <f>D6/10^9</f>
        <v>0.26623999999999998</v>
      </c>
      <c r="J6" s="23">
        <f>D6/10^9</f>
        <v>0.26623999999999998</v>
      </c>
      <c r="K6" s="23"/>
    </row>
    <row r="7" spans="1:11" ht="48" customHeight="1">
      <c r="A7" s="23" t="s">
        <v>111</v>
      </c>
      <c r="B7" s="23" t="s">
        <v>112</v>
      </c>
      <c r="C7" s="23">
        <v>17374000</v>
      </c>
      <c r="D7" s="23">
        <v>168960000</v>
      </c>
      <c r="E7" s="23">
        <f>C7/10^9</f>
        <v>1.7374000000000001E-2</v>
      </c>
      <c r="F7" s="23">
        <f>C7/10^9</f>
        <v>1.7374000000000001E-2</v>
      </c>
      <c r="G7" s="23">
        <f t="shared" si="0"/>
        <v>1.7374000000000001E-2</v>
      </c>
      <c r="H7" s="23">
        <f t="shared" si="0"/>
        <v>0.16896</v>
      </c>
      <c r="I7" s="23">
        <f>D7/10^9</f>
        <v>0.16896</v>
      </c>
      <c r="J7" s="23">
        <f>D7/10^9</f>
        <v>0.16896</v>
      </c>
      <c r="K7" s="23"/>
    </row>
    <row r="8" spans="1:11" ht="40.9" customHeight="1">
      <c r="A8" s="23" t="s">
        <v>26</v>
      </c>
      <c r="B8" s="23" t="s">
        <v>113</v>
      </c>
      <c r="C8" s="23">
        <f>14165228000</f>
        <v>14165228000</v>
      </c>
      <c r="D8" s="23">
        <v>68057600000</v>
      </c>
      <c r="E8" s="23">
        <f>(C8/2)/10^9</f>
        <v>7.0826140000000004</v>
      </c>
      <c r="F8" s="23">
        <f>(C8/4)/10^9</f>
        <v>3.5413070000000002</v>
      </c>
      <c r="G8" s="23">
        <f>(C8/8)/10^9</f>
        <v>1.7706535000000001</v>
      </c>
      <c r="H8" s="23">
        <f>D8/10^9</f>
        <v>68.057599999999994</v>
      </c>
      <c r="I8" s="23">
        <f>(D8/2)/10^9</f>
        <v>34.028799999999997</v>
      </c>
      <c r="J8" s="23">
        <f>(D8/4)/10^9</f>
        <v>17.014399999999998</v>
      </c>
      <c r="K8" s="23"/>
    </row>
    <row r="9" spans="1:11" ht="39" customHeight="1">
      <c r="A9" s="23" t="s">
        <v>115</v>
      </c>
      <c r="B9" s="23" t="s">
        <v>116</v>
      </c>
      <c r="C9" s="23">
        <v>8140000</v>
      </c>
      <c r="D9" s="23">
        <v>56174933333</v>
      </c>
      <c r="E9" s="23">
        <f>C9/10^9</f>
        <v>8.1399999999999997E-3</v>
      </c>
      <c r="F9" s="23">
        <f>C9/10^9</f>
        <v>8.1399999999999997E-3</v>
      </c>
      <c r="G9" s="23">
        <f>C9/10^9</f>
        <v>8.1399999999999997E-3</v>
      </c>
      <c r="H9" s="23">
        <f>D9/10^9</f>
        <v>56.174933332999998</v>
      </c>
      <c r="I9" s="23">
        <f>D9/10^9</f>
        <v>56.174933332999998</v>
      </c>
      <c r="J9" s="23">
        <f>D9/10^9</f>
        <v>56.174933332999998</v>
      </c>
      <c r="K9" s="23"/>
    </row>
    <row r="10" spans="1:11" ht="30" customHeight="1">
      <c r="A10" s="23" t="s">
        <v>32</v>
      </c>
      <c r="B10" s="23" t="s">
        <v>117</v>
      </c>
      <c r="C10" s="23">
        <f>30268151000</f>
        <v>30268151000</v>
      </c>
      <c r="D10" s="23">
        <v>518610915000</v>
      </c>
      <c r="E10" s="23">
        <f>(C10/2)/10^9</f>
        <v>15.1340755</v>
      </c>
      <c r="F10" s="23">
        <f>(C10/4)/10^9</f>
        <v>7.5670377499999999</v>
      </c>
      <c r="G10" s="23">
        <f>(C10/8)/10^9</f>
        <v>3.7835188749999999</v>
      </c>
      <c r="H10" s="23">
        <f>(D10/2)/10^9</f>
        <v>259.30545749999999</v>
      </c>
      <c r="I10" s="23">
        <f>(D10/4)/10^9</f>
        <v>129.65272874999999</v>
      </c>
      <c r="J10" s="23">
        <f>(D10/8)/10^9</f>
        <v>64.826364374999997</v>
      </c>
      <c r="K10" s="23"/>
    </row>
    <row r="11" spans="1:11" ht="36" customHeight="1">
      <c r="A11" s="23" t="s">
        <v>34</v>
      </c>
      <c r="B11" s="23" t="s">
        <v>118</v>
      </c>
      <c r="C11" s="23">
        <v>260416667</v>
      </c>
      <c r="D11" s="23">
        <v>2343750003</v>
      </c>
      <c r="E11" s="23">
        <f>C11/10^9</f>
        <v>0.26041666699999999</v>
      </c>
      <c r="F11" s="23">
        <f>C11/10^9</f>
        <v>0.26041666699999999</v>
      </c>
      <c r="G11" s="23">
        <f>C11/10^9</f>
        <v>0.26041666699999999</v>
      </c>
      <c r="H11" s="23">
        <f>D11/10^9</f>
        <v>2.3437500029999998</v>
      </c>
      <c r="I11" s="23">
        <f>D11/10^9</f>
        <v>2.3437500029999998</v>
      </c>
      <c r="J11" s="23">
        <f>D11/10^9</f>
        <v>2.3437500029999998</v>
      </c>
      <c r="K11" s="23"/>
    </row>
    <row r="12" spans="1:11" ht="44.45" customHeight="1">
      <c r="A12" s="23" t="s">
        <v>119</v>
      </c>
      <c r="B12" s="23" t="s">
        <v>35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 t="s">
        <v>36</v>
      </c>
    </row>
    <row r="13" spans="1:11" ht="44.45" customHeight="1">
      <c r="A13" s="23">
        <v>11</v>
      </c>
      <c r="B13" s="23" t="s">
        <v>130</v>
      </c>
      <c r="C13" s="23">
        <v>0</v>
      </c>
      <c r="D13" s="23"/>
      <c r="E13" s="23">
        <f>0.21/2</f>
        <v>0.105</v>
      </c>
      <c r="F13" s="23">
        <f>0.21/2</f>
        <v>0.105</v>
      </c>
      <c r="G13" s="23">
        <f>0.21/2</f>
        <v>0.105</v>
      </c>
      <c r="H13" s="23"/>
      <c r="I13" s="23"/>
      <c r="J13" s="23"/>
      <c r="K13" s="23" t="s">
        <v>131</v>
      </c>
    </row>
    <row r="14" spans="1:11" ht="45.6" customHeight="1">
      <c r="A14" s="85" t="s">
        <v>132</v>
      </c>
      <c r="B14" s="85"/>
      <c r="C14" s="23">
        <f>SUM(C4:C12)</f>
        <v>44870711667</v>
      </c>
      <c r="D14" s="23"/>
      <c r="E14" s="23">
        <f>SUM(E4:E13)</f>
        <v>22.759022167000001</v>
      </c>
      <c r="F14" s="23">
        <f t="shared" ref="F14:G14" si="1">SUM(F4:F13)</f>
        <v>11.650677416999999</v>
      </c>
      <c r="G14" s="23">
        <f t="shared" si="1"/>
        <v>6.0965050420000013</v>
      </c>
      <c r="H14" s="23"/>
      <c r="I14" s="23"/>
      <c r="J14" s="23"/>
      <c r="K14" s="23"/>
    </row>
  </sheetData>
  <mergeCells count="9">
    <mergeCell ref="A14:B14"/>
    <mergeCell ref="A1:K1"/>
    <mergeCell ref="A2:A3"/>
    <mergeCell ref="B2:B3"/>
    <mergeCell ref="C2:C3"/>
    <mergeCell ref="D2:D3"/>
    <mergeCell ref="K2:K3"/>
    <mergeCell ref="H3:J3"/>
    <mergeCell ref="E3:G3"/>
  </mergeCells>
  <pageMargins left="0.7" right="0.7" top="0.75" bottom="0.75" header="0.3" footer="0.3"/>
  <pageSetup paperSize="9" orientation="portrait" r:id="rId1"/>
  <ignoredErrors>
    <ignoredError sqref="E8:G8 E9:G1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5E2A-6083-4C3E-A9CE-0571080907A7}">
  <dimension ref="A1:G24"/>
  <sheetViews>
    <sheetView topLeftCell="C1" zoomScale="130" zoomScaleNormal="130" workbookViewId="0">
      <selection activeCell="C4" sqref="C4"/>
    </sheetView>
  </sheetViews>
  <sheetFormatPr defaultRowHeight="15"/>
  <cols>
    <col min="1" max="1" width="7.140625" customWidth="1"/>
    <col min="2" max="2" width="47" customWidth="1"/>
    <col min="3" max="3" width="33" customWidth="1"/>
    <col min="4" max="4" width="33.7109375" customWidth="1"/>
    <col min="7" max="7" width="17.28515625" customWidth="1"/>
    <col min="8" max="8" width="17.5703125" customWidth="1"/>
    <col min="9" max="9" width="19" customWidth="1"/>
  </cols>
  <sheetData>
    <row r="1" spans="1:7" ht="19.5" thickBot="1">
      <c r="A1" s="102" t="s">
        <v>135</v>
      </c>
      <c r="B1" s="103"/>
      <c r="C1" s="103"/>
      <c r="D1" s="103"/>
    </row>
    <row r="2" spans="1:7" ht="30">
      <c r="A2" s="77" t="s">
        <v>9</v>
      </c>
      <c r="B2" s="79" t="s">
        <v>10</v>
      </c>
      <c r="C2" s="54" t="s">
        <v>69</v>
      </c>
      <c r="D2" s="83" t="s">
        <v>136</v>
      </c>
    </row>
    <row r="3" spans="1:7" ht="16.5" thickBot="1">
      <c r="A3" s="78"/>
      <c r="B3" s="104"/>
      <c r="C3" s="55"/>
      <c r="D3" s="105"/>
    </row>
    <row r="4" spans="1:7" ht="31.9" customHeight="1">
      <c r="A4" s="106" t="s">
        <v>137</v>
      </c>
      <c r="B4" s="49" t="s">
        <v>138</v>
      </c>
      <c r="C4" s="49">
        <f>CEILING(((D4*1000)/2.0345),1)</f>
        <v>32415</v>
      </c>
      <c r="D4" s="49">
        <v>65.948317500000002</v>
      </c>
    </row>
    <row r="5" spans="1:7" ht="15" customHeight="1">
      <c r="A5" s="107"/>
      <c r="B5" s="56" t="s">
        <v>139</v>
      </c>
      <c r="C5" s="46">
        <f t="shared" ref="C5:C9" si="0">CEILING(((D5*1000)/2.0345),1)</f>
        <v>18</v>
      </c>
      <c r="D5" s="61">
        <v>3.6621000000000001E-2</v>
      </c>
    </row>
    <row r="6" spans="1:7" ht="15" customHeight="1">
      <c r="A6" s="107"/>
      <c r="B6" s="47" t="s">
        <v>140</v>
      </c>
      <c r="C6" s="46">
        <f t="shared" si="0"/>
        <v>7746</v>
      </c>
      <c r="D6" s="62">
        <v>15.759237000000001</v>
      </c>
    </row>
    <row r="7" spans="1:7" ht="15" customHeight="1">
      <c r="A7" s="107"/>
      <c r="B7" s="47" t="s">
        <v>141</v>
      </c>
      <c r="C7" s="46">
        <f t="shared" si="0"/>
        <v>6</v>
      </c>
      <c r="D7" s="62">
        <v>1.2207000000000001E-2</v>
      </c>
    </row>
    <row r="8" spans="1:7" ht="15" customHeight="1">
      <c r="A8" s="107"/>
      <c r="B8" s="47" t="s">
        <v>142</v>
      </c>
      <c r="C8" s="46">
        <f t="shared" si="0"/>
        <v>16389</v>
      </c>
      <c r="D8" s="62">
        <v>33.343420500000001</v>
      </c>
    </row>
    <row r="9" spans="1:7" ht="15" customHeight="1">
      <c r="A9" s="107"/>
      <c r="B9" s="59" t="s">
        <v>54</v>
      </c>
      <c r="C9" s="4">
        <f t="shared" si="0"/>
        <v>4155</v>
      </c>
      <c r="D9" s="60">
        <v>8.4533474999999996</v>
      </c>
    </row>
    <row r="10" spans="1:7" ht="15" customHeight="1">
      <c r="A10" s="58" t="s">
        <v>143</v>
      </c>
      <c r="B10" s="52" t="s">
        <v>144</v>
      </c>
      <c r="C10" s="49">
        <f>CEILING(((D10*1000)/2.56),1)</f>
        <v>248</v>
      </c>
      <c r="D10" s="49">
        <v>0.63382324999999995</v>
      </c>
    </row>
    <row r="11" spans="1:7" ht="21">
      <c r="A11" t="s">
        <v>145</v>
      </c>
      <c r="C11" s="37" t="s">
        <v>38</v>
      </c>
      <c r="D11" s="57">
        <f>SUM(D4,D10)</f>
        <v>66.582140750000008</v>
      </c>
    </row>
    <row r="16" spans="1:7">
      <c r="G16" s="48"/>
    </row>
    <row r="17" spans="7:7">
      <c r="G17" s="48"/>
    </row>
    <row r="18" spans="7:7">
      <c r="G18" s="48"/>
    </row>
    <row r="19" spans="7:7">
      <c r="G19" s="48"/>
    </row>
    <row r="20" spans="7:7">
      <c r="G20" s="48"/>
    </row>
    <row r="21" spans="7:7">
      <c r="G21" s="48"/>
    </row>
    <row r="22" spans="7:7">
      <c r="G22" s="48"/>
    </row>
    <row r="24" spans="7:7">
      <c r="G24" s="48"/>
    </row>
  </sheetData>
  <mergeCells count="5">
    <mergeCell ref="A1:D1"/>
    <mergeCell ref="A2:A3"/>
    <mergeCell ref="B2:B3"/>
    <mergeCell ref="D2:D3"/>
    <mergeCell ref="A4:A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66DB-7401-4E40-A4F2-CBDEF93A0BBC}">
  <dimension ref="A1:G29"/>
  <sheetViews>
    <sheetView zoomScale="85" zoomScaleNormal="85" workbookViewId="0">
      <selection activeCell="G14" sqref="G14"/>
    </sheetView>
  </sheetViews>
  <sheetFormatPr defaultRowHeight="15"/>
  <cols>
    <col min="1" max="1" width="7.140625" customWidth="1"/>
    <col min="2" max="2" width="47" customWidth="1"/>
    <col min="3" max="3" width="33" style="64" customWidth="1"/>
    <col min="4" max="4" width="33.7109375" style="64" customWidth="1"/>
    <col min="5" max="5" width="25.85546875" customWidth="1"/>
    <col min="6" max="6" width="13.42578125" customWidth="1"/>
    <col min="7" max="7" width="17.28515625" customWidth="1"/>
    <col min="8" max="8" width="17.5703125" customWidth="1"/>
    <col min="9" max="9" width="19" customWidth="1"/>
  </cols>
  <sheetData>
    <row r="1" spans="1:4" ht="39.950000000000003" customHeight="1">
      <c r="A1" s="92" t="s">
        <v>146</v>
      </c>
      <c r="B1" s="108"/>
      <c r="C1" s="108"/>
      <c r="D1" s="108"/>
    </row>
    <row r="2" spans="1:4" ht="30" customHeight="1">
      <c r="A2" s="109" t="s">
        <v>9</v>
      </c>
      <c r="B2" s="109" t="s">
        <v>10</v>
      </c>
      <c r="C2" s="96" t="s">
        <v>69</v>
      </c>
      <c r="D2" s="96" t="s">
        <v>136</v>
      </c>
    </row>
    <row r="3" spans="1:4" ht="30" customHeight="1">
      <c r="A3" s="109"/>
      <c r="B3" s="109"/>
      <c r="C3" s="96"/>
      <c r="D3" s="96"/>
    </row>
    <row r="4" spans="1:4" ht="30" customHeight="1">
      <c r="A4" s="110">
        <v>1</v>
      </c>
      <c r="B4" s="49" t="s">
        <v>147</v>
      </c>
      <c r="C4" s="50">
        <f>CEILING(((D4*1000)/2.0345),1)</f>
        <v>937581</v>
      </c>
      <c r="D4" s="50">
        <v>1907.5085445</v>
      </c>
    </row>
    <row r="5" spans="1:4" ht="30" customHeight="1">
      <c r="A5" s="110"/>
      <c r="B5" s="52" t="s">
        <v>148</v>
      </c>
      <c r="C5" s="50">
        <f>CEILING(((D5*1000)/2.0345),1)</f>
        <v>446038</v>
      </c>
      <c r="D5" s="50">
        <v>907.46431099999995</v>
      </c>
    </row>
    <row r="6" spans="1:4" ht="30" customHeight="1">
      <c r="A6" s="110"/>
      <c r="B6" s="70" t="s">
        <v>149</v>
      </c>
      <c r="C6" s="23">
        <f>CEILING(((D6*1000)/2.0345),1)</f>
        <v>50691</v>
      </c>
      <c r="D6" s="23">
        <v>103.13083949999999</v>
      </c>
    </row>
    <row r="7" spans="1:4" ht="30" customHeight="1">
      <c r="A7" s="110"/>
      <c r="B7" s="70" t="s">
        <v>150</v>
      </c>
      <c r="C7" s="23">
        <f>CEILING(((D7*1000)/2.0345),1)</f>
        <v>272</v>
      </c>
      <c r="D7" s="23">
        <v>0.55338399999999999</v>
      </c>
    </row>
    <row r="8" spans="1:4" ht="30" customHeight="1">
      <c r="A8" s="110"/>
      <c r="B8" s="70" t="s">
        <v>151</v>
      </c>
      <c r="C8" s="23">
        <f t="shared" ref="C8:C13" si="0">CEILING(((D8*1000)/2.0345),1)</f>
        <v>1027</v>
      </c>
      <c r="D8" s="23">
        <v>2.0894314999999999</v>
      </c>
    </row>
    <row r="9" spans="1:4" ht="30" customHeight="1">
      <c r="A9" s="110"/>
      <c r="B9" s="70" t="s">
        <v>152</v>
      </c>
      <c r="C9" s="23">
        <f t="shared" si="0"/>
        <v>26</v>
      </c>
      <c r="D9" s="23">
        <v>5.2897E-2</v>
      </c>
    </row>
    <row r="10" spans="1:4" ht="30" customHeight="1">
      <c r="A10" s="110"/>
      <c r="B10" s="70" t="s">
        <v>153</v>
      </c>
      <c r="C10" s="23">
        <f>CEILING(((D10*1000)/2.0345),1)</f>
        <v>393927</v>
      </c>
      <c r="D10" s="23">
        <v>801.44448150000005</v>
      </c>
    </row>
    <row r="11" spans="1:4" ht="30" customHeight="1">
      <c r="A11" s="110"/>
      <c r="B11" s="71" t="s">
        <v>154</v>
      </c>
      <c r="C11" s="23">
        <f t="shared" si="0"/>
        <v>1074</v>
      </c>
      <c r="D11" s="23">
        <v>2.1850529999999999</v>
      </c>
    </row>
    <row r="12" spans="1:4" ht="30" customHeight="1">
      <c r="A12" s="110"/>
      <c r="B12" s="71" t="s">
        <v>155</v>
      </c>
      <c r="C12" s="23">
        <f t="shared" si="0"/>
        <v>392843</v>
      </c>
      <c r="D12" s="23">
        <v>799.23908349999999</v>
      </c>
    </row>
    <row r="13" spans="1:4" ht="30" customHeight="1">
      <c r="A13" s="110"/>
      <c r="B13" s="70" t="s">
        <v>156</v>
      </c>
      <c r="C13" s="23">
        <f t="shared" si="0"/>
        <v>95</v>
      </c>
      <c r="D13" s="23">
        <v>0.19327749999999999</v>
      </c>
    </row>
    <row r="14" spans="1:4" ht="30" customHeight="1">
      <c r="A14" s="110"/>
      <c r="B14" s="52" t="s">
        <v>157</v>
      </c>
      <c r="C14" s="50">
        <f>CEILING(((D14*1000)/2.0345),1)</f>
        <v>491543</v>
      </c>
      <c r="D14" s="50">
        <v>1000.0442335</v>
      </c>
    </row>
    <row r="15" spans="1:4" ht="30" customHeight="1">
      <c r="A15" s="50">
        <v>2</v>
      </c>
      <c r="B15" s="49" t="s">
        <v>158</v>
      </c>
      <c r="C15" s="50">
        <f>CEILING(((D15*1000)/2.56),1)</f>
        <v>937</v>
      </c>
      <c r="D15" s="50">
        <v>2.3973212500000001</v>
      </c>
    </row>
    <row r="16" spans="1:4" ht="30" customHeight="1">
      <c r="A16" t="s">
        <v>145</v>
      </c>
      <c r="C16" s="68" t="s">
        <v>67</v>
      </c>
      <c r="D16" s="72">
        <f>SUM(D15,D4)</f>
        <v>1909.90586575</v>
      </c>
    </row>
    <row r="21" spans="7:7">
      <c r="G21" s="48"/>
    </row>
    <row r="22" spans="7:7">
      <c r="G22" s="48"/>
    </row>
    <row r="23" spans="7:7">
      <c r="G23" s="48"/>
    </row>
    <row r="24" spans="7:7">
      <c r="G24" s="48"/>
    </row>
    <row r="25" spans="7:7">
      <c r="G25" s="48"/>
    </row>
    <row r="26" spans="7:7">
      <c r="G26" s="48"/>
    </row>
    <row r="27" spans="7:7">
      <c r="G27" s="48"/>
    </row>
    <row r="29" spans="7:7">
      <c r="G29" s="48"/>
    </row>
  </sheetData>
  <mergeCells count="6">
    <mergeCell ref="A1:D1"/>
    <mergeCell ref="A2:A3"/>
    <mergeCell ref="B2:B3"/>
    <mergeCell ref="D2:D3"/>
    <mergeCell ref="A4:A14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8E1-ECBE-4F51-A248-B3DCEBB4F8D3}">
  <dimension ref="A1:F25"/>
  <sheetViews>
    <sheetView topLeftCell="A7" zoomScale="85" zoomScaleNormal="85" workbookViewId="0">
      <selection activeCell="E24" sqref="E24"/>
    </sheetView>
  </sheetViews>
  <sheetFormatPr defaultRowHeight="15"/>
  <cols>
    <col min="1" max="1" width="10.7109375" customWidth="1"/>
    <col min="2" max="2" width="75.7109375" customWidth="1"/>
    <col min="3" max="4" width="30.7109375" customWidth="1"/>
    <col min="5" max="5" width="36.5703125" customWidth="1"/>
    <col min="6" max="6" width="20.85546875" customWidth="1"/>
  </cols>
  <sheetData>
    <row r="1" spans="1:4" ht="39.950000000000003" customHeight="1">
      <c r="A1" s="114" t="s">
        <v>40</v>
      </c>
      <c r="B1" s="115"/>
      <c r="C1" s="115"/>
      <c r="D1" s="115"/>
    </row>
    <row r="2" spans="1:4" ht="30" customHeight="1">
      <c r="A2" s="88" t="s">
        <v>9</v>
      </c>
      <c r="B2" s="88" t="s">
        <v>10</v>
      </c>
      <c r="C2" s="88" t="s">
        <v>41</v>
      </c>
      <c r="D2" s="88"/>
    </row>
    <row r="3" spans="1:4" ht="39.950000000000003" customHeight="1">
      <c r="A3" s="88"/>
      <c r="B3" s="88"/>
      <c r="C3" s="43" t="s">
        <v>42</v>
      </c>
      <c r="D3" s="43" t="s">
        <v>43</v>
      </c>
    </row>
    <row r="4" spans="1:4" ht="30" customHeight="1">
      <c r="A4" s="23">
        <v>1</v>
      </c>
      <c r="B4" s="49" t="s">
        <v>44</v>
      </c>
      <c r="C4" s="50">
        <f>CEILING(((D4*1000)/2.56),1)</f>
        <v>58</v>
      </c>
      <c r="D4" s="50">
        <v>0.1465764</v>
      </c>
    </row>
    <row r="5" spans="1:4" ht="30" customHeight="1">
      <c r="A5" s="23">
        <v>2</v>
      </c>
      <c r="B5" s="49" t="s">
        <v>45</v>
      </c>
      <c r="C5" s="50">
        <f>CEILING(((D5*1000)/2.56),1)</f>
        <v>106</v>
      </c>
      <c r="D5" s="50">
        <v>0.27135999999999999</v>
      </c>
    </row>
    <row r="6" spans="1:4" ht="30" customHeight="1">
      <c r="A6" s="23">
        <v>3</v>
      </c>
      <c r="B6" s="49" t="s">
        <v>46</v>
      </c>
      <c r="C6" s="50">
        <f>CEILING(((D6*1000)/2.0345),1)</f>
        <v>10189</v>
      </c>
      <c r="D6" s="50">
        <v>20.72776425</v>
      </c>
    </row>
    <row r="7" spans="1:4" ht="30" customHeight="1">
      <c r="A7" s="23">
        <v>4</v>
      </c>
      <c r="B7" s="49" t="s">
        <v>47</v>
      </c>
      <c r="C7" s="50">
        <f>CEILING(((D7*1000)/2.0345),1)</f>
        <v>6</v>
      </c>
      <c r="D7" s="50">
        <v>1.2207000000000001E-2</v>
      </c>
    </row>
    <row r="8" spans="1:4" ht="30" customHeight="1">
      <c r="A8" s="85">
        <v>5</v>
      </c>
      <c r="B8" s="49" t="s">
        <v>49</v>
      </c>
      <c r="C8" s="50">
        <f>CEILING(((D8*1000)/2.0345),1)</f>
        <v>24950</v>
      </c>
      <c r="D8" s="50">
        <v>50.760775000000002</v>
      </c>
    </row>
    <row r="9" spans="1:4" ht="30" customHeight="1">
      <c r="A9" s="85"/>
      <c r="B9" s="52" t="s">
        <v>50</v>
      </c>
      <c r="C9" s="50">
        <f>CEILING(((D9*1000)/2.0345),1)</f>
        <v>18788</v>
      </c>
      <c r="D9" s="50">
        <v>38.224186000000003</v>
      </c>
    </row>
    <row r="10" spans="1:4" ht="30" customHeight="1">
      <c r="A10" s="85"/>
      <c r="B10" s="73" t="s">
        <v>51</v>
      </c>
      <c r="C10" s="50">
        <f t="shared" ref="C10:C24" si="0">CEILING(((D10*1000)/2.0345),1)</f>
        <v>6121</v>
      </c>
      <c r="D10" s="50">
        <v>12.453174499999999</v>
      </c>
    </row>
    <row r="11" spans="1:4" ht="30" customHeight="1">
      <c r="A11" s="85"/>
      <c r="B11" s="71" t="s">
        <v>52</v>
      </c>
      <c r="C11" s="23">
        <f t="shared" si="0"/>
        <v>1961</v>
      </c>
      <c r="D11" s="23">
        <v>3.9896544999999999</v>
      </c>
    </row>
    <row r="12" spans="1:4" ht="30" customHeight="1">
      <c r="A12" s="85"/>
      <c r="B12" s="71" t="s">
        <v>53</v>
      </c>
      <c r="C12" s="23">
        <f t="shared" si="0"/>
        <v>9</v>
      </c>
      <c r="D12" s="23">
        <v>1.83105E-2</v>
      </c>
    </row>
    <row r="13" spans="1:4" ht="30" customHeight="1">
      <c r="A13" s="85"/>
      <c r="B13" s="71" t="s">
        <v>54</v>
      </c>
      <c r="C13" s="23">
        <f t="shared" si="0"/>
        <v>4151</v>
      </c>
      <c r="D13" s="23">
        <v>8.4452095000000007</v>
      </c>
    </row>
    <row r="14" spans="1:4" ht="30" customHeight="1">
      <c r="A14" s="85"/>
      <c r="B14" s="52" t="s">
        <v>55</v>
      </c>
      <c r="C14" s="50">
        <f t="shared" si="0"/>
        <v>41</v>
      </c>
      <c r="D14" s="50">
        <v>8.3414500000000003E-2</v>
      </c>
    </row>
    <row r="15" spans="1:4" ht="30" customHeight="1">
      <c r="A15" s="85"/>
      <c r="B15" s="70" t="s">
        <v>56</v>
      </c>
      <c r="C15" s="23">
        <f t="shared" si="0"/>
        <v>6</v>
      </c>
      <c r="D15" s="23">
        <v>1.2207000000000001E-2</v>
      </c>
    </row>
    <row r="16" spans="1:4" ht="30" customHeight="1">
      <c r="A16" s="85"/>
      <c r="B16" s="70" t="s">
        <v>57</v>
      </c>
      <c r="C16" s="23">
        <f>CEILING(((D16*1000)/2.0345),1)</f>
        <v>35</v>
      </c>
      <c r="D16" s="23">
        <v>7.1207500000000007E-2</v>
      </c>
    </row>
    <row r="17" spans="1:6" ht="30" customHeight="1">
      <c r="A17" s="111">
        <v>6</v>
      </c>
      <c r="B17" s="49" t="s">
        <v>59</v>
      </c>
      <c r="C17" s="50">
        <f>CEILING(((D17*1000)/2.0345),1)</f>
        <v>88</v>
      </c>
      <c r="D17" s="50">
        <v>0.179036</v>
      </c>
      <c r="F17" s="48"/>
    </row>
    <row r="18" spans="1:6" ht="30" customHeight="1">
      <c r="A18" s="112"/>
      <c r="B18" s="52" t="s">
        <v>60</v>
      </c>
      <c r="C18" s="50">
        <f t="shared" si="0"/>
        <v>63</v>
      </c>
      <c r="D18" s="50">
        <v>0.1281735</v>
      </c>
    </row>
    <row r="19" spans="1:6" ht="30" customHeight="1">
      <c r="A19" s="112"/>
      <c r="B19" s="70" t="s">
        <v>61</v>
      </c>
      <c r="C19" s="23">
        <f t="shared" si="0"/>
        <v>20</v>
      </c>
      <c r="D19" s="23">
        <v>4.0689999999999997E-2</v>
      </c>
    </row>
    <row r="20" spans="1:6" ht="30" customHeight="1">
      <c r="A20" s="112"/>
      <c r="B20" s="70" t="s">
        <v>62</v>
      </c>
      <c r="C20" s="23">
        <f t="shared" si="0"/>
        <v>20</v>
      </c>
      <c r="D20" s="23">
        <v>4.0689999999999997E-2</v>
      </c>
    </row>
    <row r="21" spans="1:6" ht="30" customHeight="1">
      <c r="A21" s="112"/>
      <c r="B21" s="70" t="s">
        <v>63</v>
      </c>
      <c r="C21" s="23">
        <f>CEILING(((D21*1000)/2.0345),1)</f>
        <v>23</v>
      </c>
      <c r="D21" s="23">
        <v>4.6793500000000002E-2</v>
      </c>
    </row>
    <row r="22" spans="1:6" ht="30" customHeight="1">
      <c r="A22" s="112"/>
      <c r="B22" s="52" t="s">
        <v>64</v>
      </c>
      <c r="C22" s="50">
        <f>CEILING(((D22*1000)/2.0345),1)</f>
        <v>25</v>
      </c>
      <c r="D22" s="50">
        <v>5.0862499999999998E-2</v>
      </c>
    </row>
    <row r="23" spans="1:6" ht="30" customHeight="1">
      <c r="A23" s="112"/>
      <c r="B23" s="70" t="s">
        <v>65</v>
      </c>
      <c r="C23" s="23">
        <f>CEILING(((D23*1000)/2.0345),1)</f>
        <v>15</v>
      </c>
      <c r="D23" s="23">
        <v>3.0517499999999999E-2</v>
      </c>
    </row>
    <row r="24" spans="1:6" ht="30" customHeight="1">
      <c r="A24" s="113"/>
      <c r="B24" s="70" t="s">
        <v>66</v>
      </c>
      <c r="C24" s="23">
        <f t="shared" si="0"/>
        <v>10</v>
      </c>
      <c r="D24" s="23">
        <v>2.0344999999999999E-2</v>
      </c>
    </row>
    <row r="25" spans="1:6" ht="30" customHeight="1">
      <c r="C25" s="68" t="s">
        <v>67</v>
      </c>
      <c r="D25" s="45">
        <f>SUM(D4:D8,D17)</f>
        <v>72.09771864999999</v>
      </c>
    </row>
  </sheetData>
  <mergeCells count="6">
    <mergeCell ref="A17:A24"/>
    <mergeCell ref="A1:D1"/>
    <mergeCell ref="A2:A3"/>
    <mergeCell ref="B2:B3"/>
    <mergeCell ref="C2:D2"/>
    <mergeCell ref="A8:A1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B84F-D0A1-4828-8842-7063DF6C7318}">
  <dimension ref="A1:D24"/>
  <sheetViews>
    <sheetView topLeftCell="A9" zoomScale="85" zoomScaleNormal="85" workbookViewId="0">
      <selection activeCell="M24" sqref="M24"/>
    </sheetView>
  </sheetViews>
  <sheetFormatPr defaultRowHeight="15"/>
  <cols>
    <col min="1" max="1" width="10.7109375" customWidth="1"/>
    <col min="2" max="2" width="80.7109375" customWidth="1"/>
    <col min="3" max="4" width="30.7109375" customWidth="1"/>
    <col min="8" max="8" width="26.28515625" customWidth="1"/>
  </cols>
  <sheetData>
    <row r="1" spans="1:4" ht="39.950000000000003" customHeight="1">
      <c r="A1" s="116" t="s">
        <v>68</v>
      </c>
      <c r="B1" s="116"/>
      <c r="C1" s="116"/>
      <c r="D1" s="116"/>
    </row>
    <row r="2" spans="1:4" ht="30" customHeight="1">
      <c r="A2" s="88" t="s">
        <v>9</v>
      </c>
      <c r="B2" s="88" t="s">
        <v>10</v>
      </c>
      <c r="C2" s="88" t="s">
        <v>41</v>
      </c>
      <c r="D2" s="88"/>
    </row>
    <row r="3" spans="1:4" ht="39.950000000000003" customHeight="1">
      <c r="A3" s="88"/>
      <c r="B3" s="88"/>
      <c r="C3" s="43" t="s">
        <v>69</v>
      </c>
      <c r="D3" s="43" t="s">
        <v>43</v>
      </c>
    </row>
    <row r="4" spans="1:4" ht="30" customHeight="1">
      <c r="A4" s="23" t="s">
        <v>70</v>
      </c>
      <c r="B4" s="49" t="s">
        <v>71</v>
      </c>
      <c r="C4" s="50">
        <f>CEILING(((D4*1000)/2.4824),1)</f>
        <v>78</v>
      </c>
      <c r="D4" s="50">
        <v>0.19242119999999999</v>
      </c>
    </row>
    <row r="5" spans="1:4" ht="30" customHeight="1">
      <c r="A5" s="23">
        <v>2</v>
      </c>
      <c r="B5" s="49" t="s">
        <v>72</v>
      </c>
      <c r="C5" s="50">
        <f>CEILING(((D5*1000)/2.56),1)</f>
        <v>727</v>
      </c>
      <c r="D5" s="50">
        <v>1.8611200000000001</v>
      </c>
    </row>
    <row r="6" spans="1:4" ht="30" customHeight="1">
      <c r="A6" s="23">
        <v>3</v>
      </c>
      <c r="B6" s="49" t="s">
        <v>73</v>
      </c>
      <c r="C6" s="50">
        <f>CEILING(((D6*1000)/2.56),1)</f>
        <v>8</v>
      </c>
      <c r="D6" s="50">
        <v>2.0480000000000002E-2</v>
      </c>
    </row>
    <row r="7" spans="1:4" ht="30" customHeight="1">
      <c r="A7" s="23">
        <v>4</v>
      </c>
      <c r="B7" s="49" t="s">
        <v>74</v>
      </c>
      <c r="C7" s="50">
        <f>CEILING(((D7*1000)/2.56),1)</f>
        <v>2067</v>
      </c>
      <c r="D7" s="50">
        <v>5.2901777499999998</v>
      </c>
    </row>
    <row r="8" spans="1:4" ht="30" customHeight="1">
      <c r="A8" s="111">
        <v>5</v>
      </c>
      <c r="B8" s="49" t="s">
        <v>75</v>
      </c>
      <c r="C8" s="50">
        <f>CEILING(((D8*1000)/2.0345),1)</f>
        <v>147</v>
      </c>
      <c r="D8" s="50">
        <v>0.29907149999999999</v>
      </c>
    </row>
    <row r="9" spans="1:4" ht="30" customHeight="1">
      <c r="A9" s="112"/>
      <c r="B9" s="52" t="s">
        <v>76</v>
      </c>
      <c r="C9" s="50">
        <f>CEILING(((D9*1000)/2.0345),1)</f>
        <v>104</v>
      </c>
      <c r="D9" s="50">
        <v>0.211588</v>
      </c>
    </row>
    <row r="10" spans="1:4" ht="30" customHeight="1">
      <c r="A10" s="112"/>
      <c r="B10" s="70" t="s">
        <v>77</v>
      </c>
      <c r="C10" s="23">
        <f t="shared" ref="C10:C23" si="0">CEILING(((D10*1000)/2.0345),1)</f>
        <v>25</v>
      </c>
      <c r="D10" s="23">
        <v>5.0862499999999998E-2</v>
      </c>
    </row>
    <row r="11" spans="1:4" ht="30" customHeight="1">
      <c r="A11" s="112"/>
      <c r="B11" s="70" t="s">
        <v>63</v>
      </c>
      <c r="C11" s="23">
        <f t="shared" si="0"/>
        <v>30</v>
      </c>
      <c r="D11" s="23">
        <v>6.1034999999999999E-2</v>
      </c>
    </row>
    <row r="12" spans="1:4" ht="30" customHeight="1">
      <c r="A12" s="112"/>
      <c r="B12" s="70" t="s">
        <v>78</v>
      </c>
      <c r="C12" s="23">
        <f t="shared" si="0"/>
        <v>46</v>
      </c>
      <c r="D12" s="23">
        <v>9.3587000000000004E-2</v>
      </c>
    </row>
    <row r="13" spans="1:4" ht="30" customHeight="1">
      <c r="A13" s="112"/>
      <c r="B13" s="70" t="s">
        <v>79</v>
      </c>
      <c r="C13" s="23">
        <f t="shared" ref="C13:C14" si="1">CEILING(((D13*1000)/2.0345),1)</f>
        <v>3</v>
      </c>
      <c r="D13" s="23">
        <v>6.1035000000000004E-3</v>
      </c>
    </row>
    <row r="14" spans="1:4" ht="30" customHeight="1">
      <c r="A14" s="112"/>
      <c r="B14" s="52" t="s">
        <v>80</v>
      </c>
      <c r="C14" s="50">
        <f t="shared" si="1"/>
        <v>43</v>
      </c>
      <c r="D14" s="50">
        <v>8.7483500000000006E-2</v>
      </c>
    </row>
    <row r="15" spans="1:4" ht="30" customHeight="1">
      <c r="A15" s="112"/>
      <c r="B15" s="70" t="s">
        <v>81</v>
      </c>
      <c r="C15" s="23">
        <f t="shared" ref="C15:C16" si="2">CEILING(((D15*1000)/2.0345),1)</f>
        <v>12</v>
      </c>
      <c r="D15" s="23">
        <v>2.4414000000000002E-2</v>
      </c>
    </row>
    <row r="16" spans="1:4" ht="30" customHeight="1">
      <c r="A16" s="113"/>
      <c r="B16" s="70" t="s">
        <v>82</v>
      </c>
      <c r="C16" s="23">
        <f t="shared" si="2"/>
        <v>31</v>
      </c>
      <c r="D16" s="23">
        <v>6.3069500000000001E-2</v>
      </c>
    </row>
    <row r="17" spans="1:4" ht="30" customHeight="1">
      <c r="A17" s="112">
        <v>6</v>
      </c>
      <c r="B17" s="49" t="s">
        <v>83</v>
      </c>
      <c r="C17" s="50">
        <f>CEILING(((D17*1000)/2.0345),1)</f>
        <v>26163</v>
      </c>
      <c r="D17" s="50">
        <v>53.228623499999998</v>
      </c>
    </row>
    <row r="18" spans="1:4" ht="30" customHeight="1">
      <c r="A18" s="112"/>
      <c r="B18" s="52" t="s">
        <v>84</v>
      </c>
      <c r="C18" s="50">
        <f t="shared" si="0"/>
        <v>26119</v>
      </c>
      <c r="D18" s="50">
        <v>53.139105499999999</v>
      </c>
    </row>
    <row r="19" spans="1:4" ht="30" customHeight="1">
      <c r="A19" s="112"/>
      <c r="B19" s="70" t="s">
        <v>85</v>
      </c>
      <c r="C19" s="23">
        <f t="shared" si="0"/>
        <v>17804</v>
      </c>
      <c r="D19" s="23">
        <v>36.222237999999997</v>
      </c>
    </row>
    <row r="20" spans="1:4" ht="30" customHeight="1">
      <c r="A20" s="112"/>
      <c r="B20" s="70" t="s">
        <v>86</v>
      </c>
      <c r="C20" s="23">
        <f t="shared" si="0"/>
        <v>8315</v>
      </c>
      <c r="D20" s="23">
        <v>16.916867499999999</v>
      </c>
    </row>
    <row r="21" spans="1:4" ht="30" customHeight="1">
      <c r="A21" s="112"/>
      <c r="B21" s="52" t="s">
        <v>55</v>
      </c>
      <c r="C21" s="50">
        <f t="shared" si="0"/>
        <v>44</v>
      </c>
      <c r="D21" s="50">
        <v>8.9518E-2</v>
      </c>
    </row>
    <row r="22" spans="1:4" ht="30" customHeight="1">
      <c r="A22" s="112"/>
      <c r="B22" s="70" t="s">
        <v>56</v>
      </c>
      <c r="C22" s="23">
        <f t="shared" si="0"/>
        <v>6</v>
      </c>
      <c r="D22" s="23">
        <v>1.2207000000000001E-2</v>
      </c>
    </row>
    <row r="23" spans="1:4" ht="30" customHeight="1">
      <c r="A23" s="113"/>
      <c r="B23" s="70" t="s">
        <v>57</v>
      </c>
      <c r="C23" s="23">
        <f t="shared" si="0"/>
        <v>38</v>
      </c>
      <c r="D23" s="23">
        <v>7.7311000000000005E-2</v>
      </c>
    </row>
    <row r="24" spans="1:4" ht="30" customHeight="1">
      <c r="C24" s="68" t="s">
        <v>67</v>
      </c>
      <c r="D24" s="69">
        <f>SUM(D4:D8,D17)</f>
        <v>60.891893949999996</v>
      </c>
    </row>
  </sheetData>
  <mergeCells count="6">
    <mergeCell ref="A17:A23"/>
    <mergeCell ref="A1:D1"/>
    <mergeCell ref="A2:A3"/>
    <mergeCell ref="B2:B3"/>
    <mergeCell ref="C2:D2"/>
    <mergeCell ref="A8:A1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CEBA-0E51-4978-B35F-1809491D0E20}">
  <sheetPr codeName="Sheet13"/>
  <dimension ref="A1:AE13"/>
  <sheetViews>
    <sheetView topLeftCell="B1" zoomScale="70" zoomScaleNormal="70" workbookViewId="0">
      <selection activeCell="L13" sqref="L13"/>
    </sheetView>
  </sheetViews>
  <sheetFormatPr defaultColWidth="8.85546875" defaultRowHeight="15"/>
  <cols>
    <col min="1" max="1" width="8.85546875" style="21"/>
    <col min="2" max="3" width="26.28515625" style="21" customWidth="1"/>
    <col min="4" max="4" width="20.28515625" style="29" customWidth="1"/>
    <col min="5" max="5" width="20.28515625" style="21" customWidth="1"/>
    <col min="6" max="6" width="20.28515625" style="29" customWidth="1"/>
    <col min="7" max="12" width="20.7109375" style="21" customWidth="1"/>
    <col min="13" max="13" width="55.5703125" style="21" customWidth="1"/>
    <col min="14" max="16384" width="8.85546875" style="21"/>
  </cols>
  <sheetData>
    <row r="1" spans="1:31" ht="15.75" customHeight="1">
      <c r="A1" s="96" t="s">
        <v>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31" ht="74.45" customHeight="1">
      <c r="A2" s="96" t="s">
        <v>9</v>
      </c>
      <c r="B2" s="96" t="s">
        <v>10</v>
      </c>
      <c r="C2" s="117" t="s">
        <v>159</v>
      </c>
      <c r="D2" s="118"/>
      <c r="E2" s="117" t="s">
        <v>160</v>
      </c>
      <c r="F2" s="118"/>
      <c r="G2" s="32" t="s">
        <v>123</v>
      </c>
      <c r="H2" s="32" t="s">
        <v>124</v>
      </c>
      <c r="I2" s="32" t="s">
        <v>125</v>
      </c>
      <c r="J2" s="33" t="s">
        <v>123</v>
      </c>
      <c r="K2" s="33" t="s">
        <v>124</v>
      </c>
      <c r="L2" s="33" t="s">
        <v>125</v>
      </c>
      <c r="M2" s="97" t="s">
        <v>15</v>
      </c>
    </row>
    <row r="3" spans="1:31" ht="14.45" customHeight="1">
      <c r="A3" s="96"/>
      <c r="B3" s="96"/>
      <c r="C3" s="119"/>
      <c r="D3" s="120"/>
      <c r="E3" s="119"/>
      <c r="F3" s="120"/>
      <c r="G3" s="121" t="s">
        <v>126</v>
      </c>
      <c r="H3" s="121"/>
      <c r="I3" s="121"/>
      <c r="J3" s="122" t="s">
        <v>161</v>
      </c>
      <c r="K3" s="122"/>
      <c r="L3" s="122"/>
      <c r="M3" s="98"/>
    </row>
    <row r="4" spans="1:31" ht="43.9" customHeight="1">
      <c r="A4" s="23" t="s">
        <v>16</v>
      </c>
      <c r="B4" s="23" t="s">
        <v>17</v>
      </c>
      <c r="C4" s="23">
        <v>115000</v>
      </c>
      <c r="D4" s="30">
        <f>C4/6000/390.625*10^9</f>
        <v>49066666.666666672</v>
      </c>
      <c r="E4" s="23">
        <v>117186000</v>
      </c>
      <c r="F4" s="30">
        <f>E4/6000/390.625*10^9</f>
        <v>49999360000</v>
      </c>
      <c r="G4" s="34">
        <f>D4/10^9</f>
        <v>4.9066666666666675E-2</v>
      </c>
      <c r="H4" s="34">
        <f>D4/10^9</f>
        <v>4.9066666666666675E-2</v>
      </c>
      <c r="I4" s="34">
        <f>D4/10^9</f>
        <v>4.9066666666666675E-2</v>
      </c>
      <c r="J4" s="35">
        <f t="shared" ref="J4:J9" si="0">F4/10^9</f>
        <v>49.999360000000003</v>
      </c>
      <c r="K4" s="35">
        <f>F4/10^9</f>
        <v>49.999360000000003</v>
      </c>
      <c r="L4" s="35">
        <f>F4/10^9</f>
        <v>49.999360000000003</v>
      </c>
      <c r="M4" s="23"/>
    </row>
    <row r="5" spans="1:31" ht="43.15" customHeight="1">
      <c r="A5" s="23" t="s">
        <v>18</v>
      </c>
      <c r="B5" s="23" t="s">
        <v>19</v>
      </c>
      <c r="C5" s="23">
        <v>6000</v>
      </c>
      <c r="D5" s="30">
        <f>C5/6000/390.625*10^9</f>
        <v>2560000</v>
      </c>
      <c r="E5" s="23">
        <v>117072000</v>
      </c>
      <c r="F5" s="30">
        <f>E5/6000/390.625*10^9</f>
        <v>49950720000</v>
      </c>
      <c r="G5" s="34">
        <f t="shared" ref="G5:G9" si="1">D5/10^9</f>
        <v>2.5600000000000002E-3</v>
      </c>
      <c r="H5" s="34">
        <f>D5/10^9</f>
        <v>2.5600000000000002E-3</v>
      </c>
      <c r="I5" s="34">
        <f t="shared" ref="I5:I6" si="2">D5/10^9</f>
        <v>2.5600000000000002E-3</v>
      </c>
      <c r="J5" s="35">
        <f t="shared" si="0"/>
        <v>49.950719999999997</v>
      </c>
      <c r="K5" s="35">
        <f>F5/10^9</f>
        <v>49.950719999999997</v>
      </c>
      <c r="L5" s="35">
        <f>F5/10^9</f>
        <v>49.950719999999997</v>
      </c>
      <c r="M5" s="23"/>
      <c r="AB5" s="21">
        <v>100</v>
      </c>
      <c r="AC5" s="21">
        <v>20</v>
      </c>
      <c r="AD5" s="21">
        <v>10</v>
      </c>
      <c r="AE5" s="21">
        <v>5</v>
      </c>
    </row>
    <row r="6" spans="1:31" ht="38.450000000000003" customHeight="1">
      <c r="A6" s="23" t="s">
        <v>20</v>
      </c>
      <c r="B6" s="23" t="s">
        <v>105</v>
      </c>
      <c r="C6" s="23">
        <v>414000</v>
      </c>
      <c r="D6" s="30">
        <f>(C6/6000)/(390.625*10^-9)</f>
        <v>176640000</v>
      </c>
      <c r="E6" s="23">
        <v>117468000</v>
      </c>
      <c r="F6" s="30">
        <f>E6/6000/390.625*10^9</f>
        <v>50119680000</v>
      </c>
      <c r="G6" s="34">
        <f t="shared" si="1"/>
        <v>0.17663999999999999</v>
      </c>
      <c r="H6" s="34">
        <f>D6/10^9</f>
        <v>0.17663999999999999</v>
      </c>
      <c r="I6" s="34">
        <f t="shared" si="2"/>
        <v>0.17663999999999999</v>
      </c>
      <c r="J6" s="35">
        <f t="shared" si="0"/>
        <v>50.119680000000002</v>
      </c>
      <c r="K6" s="35">
        <f>F6/10^9</f>
        <v>50.119680000000002</v>
      </c>
      <c r="L6" s="35">
        <f>F6/10^9</f>
        <v>50.119680000000002</v>
      </c>
      <c r="M6" s="23"/>
      <c r="AB6" s="21">
        <v>3276</v>
      </c>
      <c r="AC6" s="21">
        <v>1200</v>
      </c>
      <c r="AD6" s="21">
        <v>600</v>
      </c>
      <c r="AE6" s="21">
        <v>300</v>
      </c>
    </row>
    <row r="7" spans="1:31" ht="44.45" customHeight="1">
      <c r="A7" s="23" t="s">
        <v>22</v>
      </c>
      <c r="B7" s="23" t="s">
        <v>23</v>
      </c>
      <c r="C7" s="23">
        <v>118321000</v>
      </c>
      <c r="D7" s="30">
        <f>C7/4000/468.75*10^9</f>
        <v>63104533333.333336</v>
      </c>
      <c r="E7" s="23">
        <v>199589000</v>
      </c>
      <c r="F7" s="30">
        <f>E7/4000/468.75*10^9</f>
        <v>106447466666.66667</v>
      </c>
      <c r="G7" s="34">
        <f t="shared" si="1"/>
        <v>63.104533333333336</v>
      </c>
      <c r="H7" s="34">
        <f>(D7/2)/10^9</f>
        <v>31.552266666666668</v>
      </c>
      <c r="I7" s="34">
        <f>(D7/4)/10^9</f>
        <v>15.776133333333334</v>
      </c>
      <c r="J7" s="35">
        <f t="shared" si="0"/>
        <v>106.44746666666667</v>
      </c>
      <c r="K7" s="35">
        <f>(F7/2)/10^9</f>
        <v>53.223733333333335</v>
      </c>
      <c r="L7" s="35">
        <f>(F7/4)/10^9</f>
        <v>26.611866666666668</v>
      </c>
      <c r="M7" s="23" t="s">
        <v>162</v>
      </c>
      <c r="AB7" s="21">
        <f>AB6/AC6</f>
        <v>2.73</v>
      </c>
      <c r="AC7" s="21">
        <v>2.73</v>
      </c>
      <c r="AD7" s="21">
        <f>AB6/AD6</f>
        <v>5.46</v>
      </c>
      <c r="AE7" s="21">
        <f>AB6/AE6</f>
        <v>10.92</v>
      </c>
    </row>
    <row r="8" spans="1:31" ht="42" customHeight="1">
      <c r="A8" s="23" t="s">
        <v>24</v>
      </c>
      <c r="B8" s="23" t="s">
        <v>25</v>
      </c>
      <c r="C8" s="23">
        <v>20000</v>
      </c>
      <c r="D8" s="30">
        <f>C8/4000/468.75*10^9</f>
        <v>10666666.666666666</v>
      </c>
      <c r="E8" s="23">
        <v>81288000</v>
      </c>
      <c r="F8" s="30">
        <f>E8/4000/468.75*10^9</f>
        <v>43353600000</v>
      </c>
      <c r="G8" s="34">
        <f t="shared" si="1"/>
        <v>1.0666666666666666E-2</v>
      </c>
      <c r="H8" s="34">
        <f>D8/10^9</f>
        <v>1.0666666666666666E-2</v>
      </c>
      <c r="I8" s="34">
        <f>D8/10^9</f>
        <v>1.0666666666666666E-2</v>
      </c>
      <c r="J8" s="35">
        <f t="shared" si="0"/>
        <v>43.3536</v>
      </c>
      <c r="K8" s="35">
        <f>F8/10^9</f>
        <v>43.3536</v>
      </c>
      <c r="L8" s="35">
        <f>F8/10^9</f>
        <v>43.3536</v>
      </c>
      <c r="M8" s="23"/>
      <c r="AC8" s="21">
        <f>AC6/AD6</f>
        <v>2</v>
      </c>
    </row>
    <row r="9" spans="1:31" ht="39" customHeight="1">
      <c r="A9" s="23" t="s">
        <v>26</v>
      </c>
      <c r="B9" s="23" t="s">
        <v>27</v>
      </c>
      <c r="C9" s="23">
        <v>13824000</v>
      </c>
      <c r="D9" s="30">
        <f>C9/4000/468.75*10^9</f>
        <v>7372800000</v>
      </c>
      <c r="E9" s="23">
        <v>99124000</v>
      </c>
      <c r="F9" s="31">
        <f>E9/4000/468.75*10^9</f>
        <v>52866133333.333328</v>
      </c>
      <c r="G9" s="34">
        <f t="shared" si="1"/>
        <v>7.3727999999999998</v>
      </c>
      <c r="H9" s="34">
        <f>(D9/2)/10^9</f>
        <v>3.6863999999999999</v>
      </c>
      <c r="I9" s="34">
        <f>(D9/4)/10^9</f>
        <v>1.8431999999999999</v>
      </c>
      <c r="J9" s="35">
        <f t="shared" si="0"/>
        <v>52.86613333333333</v>
      </c>
      <c r="K9" s="35">
        <f>(F9/2)/10^9</f>
        <v>26.433066666666665</v>
      </c>
      <c r="L9" s="35">
        <f>(F9/4)/10^9</f>
        <v>13.216533333333333</v>
      </c>
      <c r="M9" s="23"/>
      <c r="AB9" s="21">
        <v>4096</v>
      </c>
      <c r="AC9" s="21">
        <v>2048</v>
      </c>
      <c r="AD9" s="21">
        <v>1024</v>
      </c>
      <c r="AE9" s="21">
        <v>512</v>
      </c>
    </row>
    <row r="10" spans="1:31" ht="45">
      <c r="A10" s="23" t="s">
        <v>29</v>
      </c>
      <c r="B10" s="23" t="s">
        <v>30</v>
      </c>
      <c r="C10" s="23">
        <v>30741149000</v>
      </c>
      <c r="D10" s="30">
        <f>30741149000</f>
        <v>30741149000</v>
      </c>
      <c r="E10" s="23">
        <v>173997803000</v>
      </c>
      <c r="F10" s="30">
        <v>173997803000</v>
      </c>
      <c r="G10" s="34">
        <f>(D10/2)/10^9</f>
        <v>15.3705745</v>
      </c>
      <c r="H10" s="34">
        <f>(D10/4)/10^9</f>
        <v>7.68528725</v>
      </c>
      <c r="I10" s="34">
        <f>(D10/8)/10^9</f>
        <v>3.842643625</v>
      </c>
      <c r="J10" s="35">
        <f>(F10/2)/10^9</f>
        <v>86.998901500000002</v>
      </c>
      <c r="K10" s="35">
        <f>(F10/4)/10^9</f>
        <v>43.499450750000001</v>
      </c>
      <c r="L10" s="35">
        <f>(F10/8)/10^9</f>
        <v>21.749725375000001</v>
      </c>
      <c r="M10" s="23" t="s">
        <v>163</v>
      </c>
      <c r="AB10" s="21">
        <f>AB9/AD9</f>
        <v>4</v>
      </c>
      <c r="AE10" s="21">
        <f>AB9/AE9</f>
        <v>8</v>
      </c>
    </row>
    <row r="11" spans="1:31" ht="39" customHeight="1">
      <c r="A11" s="23" t="s">
        <v>34</v>
      </c>
      <c r="B11" s="23" t="s">
        <v>35</v>
      </c>
      <c r="C11" s="23">
        <v>0</v>
      </c>
      <c r="D11" s="30">
        <v>0</v>
      </c>
      <c r="E11" s="23">
        <v>0</v>
      </c>
      <c r="F11" s="30">
        <v>0</v>
      </c>
      <c r="G11" s="34">
        <v>0</v>
      </c>
      <c r="H11" s="34">
        <v>0</v>
      </c>
      <c r="I11" s="34">
        <v>0</v>
      </c>
      <c r="J11" s="35">
        <v>0</v>
      </c>
      <c r="K11" s="35">
        <v>0</v>
      </c>
      <c r="L11" s="35">
        <v>0</v>
      </c>
      <c r="M11" s="23" t="s">
        <v>36</v>
      </c>
    </row>
    <row r="12" spans="1:31" ht="39" customHeight="1">
      <c r="A12" s="23">
        <v>10</v>
      </c>
      <c r="B12" s="23" t="s">
        <v>130</v>
      </c>
      <c r="C12" s="23">
        <v>0</v>
      </c>
      <c r="D12" s="30">
        <v>0</v>
      </c>
      <c r="E12" s="23">
        <v>0</v>
      </c>
      <c r="F12" s="30">
        <v>0</v>
      </c>
      <c r="G12" s="34">
        <v>0</v>
      </c>
      <c r="H12" s="34">
        <v>0</v>
      </c>
      <c r="I12" s="34">
        <v>0</v>
      </c>
      <c r="J12" s="35">
        <v>0</v>
      </c>
      <c r="K12" s="35">
        <v>0</v>
      </c>
      <c r="L12" s="35">
        <v>0</v>
      </c>
      <c r="M12" s="23" t="s">
        <v>36</v>
      </c>
    </row>
    <row r="13" spans="1:31" ht="45.6" customHeight="1">
      <c r="A13" s="85" t="s">
        <v>132</v>
      </c>
      <c r="B13" s="85"/>
      <c r="C13" s="23"/>
      <c r="D13" s="30">
        <f>SUM(D4:D12)</f>
        <v>101457415666.66666</v>
      </c>
      <c r="E13" s="23"/>
      <c r="F13" s="30">
        <f>SUM(F4:F12)</f>
        <v>526734763000</v>
      </c>
      <c r="G13" s="34">
        <f>SUM(G4:G12)</f>
        <v>86.086841166666673</v>
      </c>
      <c r="H13" s="34">
        <f>SUM(H4:H12)</f>
        <v>43.162887250000004</v>
      </c>
      <c r="I13" s="34">
        <f>SUM(I4:I12)</f>
        <v>21.700910291666666</v>
      </c>
      <c r="J13" s="35">
        <f>SUM(J4:J12)</f>
        <v>439.73586149999994</v>
      </c>
      <c r="K13" s="35">
        <f t="shared" ref="K13:L13" si="3">SUM(K4:K12)</f>
        <v>316.57961075000003</v>
      </c>
      <c r="L13" s="35">
        <f t="shared" si="3"/>
        <v>255.00148537499999</v>
      </c>
      <c r="M13" s="23"/>
    </row>
  </sheetData>
  <mergeCells count="9">
    <mergeCell ref="A13:B13"/>
    <mergeCell ref="C2:D3"/>
    <mergeCell ref="E2:F3"/>
    <mergeCell ref="A1:M1"/>
    <mergeCell ref="A2:A3"/>
    <mergeCell ref="B2:B3"/>
    <mergeCell ref="M2:M3"/>
    <mergeCell ref="G3:I3"/>
    <mergeCell ref="J3:L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E3E-120A-4E0C-8860-282D43B1759C}">
  <sheetPr codeName="Sheet14"/>
  <dimension ref="C22"/>
  <sheetViews>
    <sheetView workbookViewId="0">
      <selection activeCell="H30" sqref="H30"/>
    </sheetView>
  </sheetViews>
  <sheetFormatPr defaultRowHeight="15"/>
  <sheetData>
    <row r="22" spans="3:3">
      <c r="C22" t="s">
        <v>164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2EF189E653C449E6CA9D37DBEAB2D" ma:contentTypeVersion="8" ma:contentTypeDescription="Create a new document." ma:contentTypeScope="" ma:versionID="1f3c0ab2433ce0bd9ff3a28cf806c88d">
  <xsd:schema xmlns:xsd="http://www.w3.org/2001/XMLSchema" xmlns:xs="http://www.w3.org/2001/XMLSchema" xmlns:p="http://schemas.microsoft.com/office/2006/metadata/properties" xmlns:ns2="c7003066-3942-40e7-97ad-7aad8f02991a" targetNamespace="http://schemas.microsoft.com/office/2006/metadata/properties" ma:root="true" ma:fieldsID="36463f8314b1e75e79768737f8528b0e" ns2:_="">
    <xsd:import namespace="c7003066-3942-40e7-97ad-7aad8f0299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03066-3942-40e7-97ad-7aad8f0299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ECA8E9-EEB4-428E-9792-D009A62F64B9}"/>
</file>

<file path=customXml/itemProps2.xml><?xml version="1.0" encoding="utf-8"?>
<ds:datastoreItem xmlns:ds="http://schemas.openxmlformats.org/officeDocument/2006/customXml" ds:itemID="{B1581D9C-7E35-4F8C-9192-7190451DDEF2}"/>
</file>

<file path=customXml/itemProps3.xml><?xml version="1.0" encoding="utf-8"?>
<ds:datastoreItem xmlns:ds="http://schemas.openxmlformats.org/officeDocument/2006/customXml" ds:itemID="{5812840D-69AD-4A11-978E-8208027CDA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Aruna A S</dc:creator>
  <cp:keywords/>
  <dc:description/>
  <cp:lastModifiedBy>Preethika S</cp:lastModifiedBy>
  <cp:revision/>
  <dcterms:created xsi:type="dcterms:W3CDTF">2020-09-30T10:34:27Z</dcterms:created>
  <dcterms:modified xsi:type="dcterms:W3CDTF">2025-07-01T09:00:59Z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0x0101001B12EF189E653C449E6CA9D37DBEAB2D</vt:lpwstr>
  </property>
  <property fmtid="{D5CDD505-2E9C-101B-9397-08002B2CF9AE}" pid="3" name="MediaServiceImageTags">
    <vt:lpwstr/>
  </property>
  <property fmtid="{D5CDD505-2E9C-101B-9397-08002B2CF9AE}" pid="4" name="Order">
    <vt:r8>2064300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6a19be41-f3f8-4bff-a5cd-09153d43afda_Enabled">
    <vt:lpwstr>true</vt:lpwstr>
  </property>
  <property fmtid="{D5CDD505-2E9C-101B-9397-08002B2CF9AE}" pid="12" name="MSIP_Label_6a19be41-f3f8-4bff-a5cd-09153d43afda_SetDate">
    <vt:lpwstr>2025-06-30T09:42:23Z</vt:lpwstr>
  </property>
  <property fmtid="{D5CDD505-2E9C-101B-9397-08002B2CF9AE}" pid="13" name="MSIP_Label_6a19be41-f3f8-4bff-a5cd-09153d43afda_Method">
    <vt:lpwstr>Standard</vt:lpwstr>
  </property>
  <property fmtid="{D5CDD505-2E9C-101B-9397-08002B2CF9AE}" pid="14" name="MSIP_Label_6a19be41-f3f8-4bff-a5cd-09153d43afda_Name">
    <vt:lpwstr>Internal</vt:lpwstr>
  </property>
  <property fmtid="{D5CDD505-2E9C-101B-9397-08002B2CF9AE}" pid="15" name="MSIP_Label_6a19be41-f3f8-4bff-a5cd-09153d43afda_SiteId">
    <vt:lpwstr>fbd72e03-d4a5-4110-adce-614d51f2077a</vt:lpwstr>
  </property>
  <property fmtid="{D5CDD505-2E9C-101B-9397-08002B2CF9AE}" pid="16" name="MSIP_Label_6a19be41-f3f8-4bff-a5cd-09153d43afda_ActionId">
    <vt:lpwstr>0e93b5ab-4569-46c9-bc28-47e34db2f890</vt:lpwstr>
  </property>
  <property fmtid="{D5CDD505-2E9C-101B-9397-08002B2CF9AE}" pid="17" name="MSIP_Label_6a19be41-f3f8-4bff-a5cd-09153d43afda_ContentBits">
    <vt:lpwstr>0</vt:lpwstr>
  </property>
  <property fmtid="{D5CDD505-2E9C-101B-9397-08002B2CF9AE}" pid="18" name="MSIP_Label_6a19be41-f3f8-4bff-a5cd-09153d43afda_Tag">
    <vt:lpwstr>10, 3, 0, 2</vt:lpwstr>
  </property>
</Properties>
</file>