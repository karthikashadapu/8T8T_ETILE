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8.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reethikaS\Downloads\"/>
    </mc:Choice>
  </mc:AlternateContent>
  <xr:revisionPtr revIDLastSave="0" documentId="13_ncr:1_{1D9B1654-CA2A-49E2-962C-8585CF4CAB85}" xr6:coauthVersionLast="47" xr6:coauthVersionMax="47" xr10:uidLastSave="{00000000-0000-0000-0000-000000000000}"/>
  <bookViews>
    <workbookView xWindow="-120" yWindow="-120" windowWidth="29040" windowHeight="15840" tabRatio="452" firstSheet="21" activeTab="12" xr2:uid="{00000000-000D-0000-FFFF-FFFF00000000}"/>
  </bookViews>
  <sheets>
    <sheet name="File Based_Phase 1" sheetId="44" state="hidden" r:id="rId1"/>
    <sheet name="LPBK" sheetId="38" state="hidden" r:id="rId2"/>
    <sheet name="DL" sheetId="46" state="hidden" r:id="rId3"/>
    <sheet name="UL" sheetId="45" state="hidden" r:id="rId4"/>
    <sheet name="oRAN-IP_BU" sheetId="56" state="hidden" r:id="rId5"/>
    <sheet name="oRAN-IP" sheetId="47" state="hidden" r:id="rId6"/>
    <sheet name="PRACH" sheetId="48" state="hidden" r:id="rId7"/>
    <sheet name="PRACH Antenna MUX" sheetId="49" state="hidden" r:id="rId8"/>
    <sheet name="UL Antenna MUX" sheetId="50" state="hidden" r:id="rId9"/>
    <sheet name="Uplink Arbiter" sheetId="51" state="hidden" r:id="rId10"/>
    <sheet name="cu-plane-coupling_100MHz" sheetId="52" state="hidden" r:id="rId11"/>
    <sheet name="Milestone1 simulation" sheetId="61" state="hidden" r:id="rId12"/>
    <sheet name="System_Simulation" sheetId="62" r:id="rId13"/>
    <sheet name="PRACH_Simulation" sheetId="69" r:id="rId14"/>
    <sheet name="FH_IP_Connectivity" sheetId="58" state="hidden" r:id="rId15"/>
    <sheet name="Injection_Simulation" sheetId="71" r:id="rId16"/>
    <sheet name="Power_Meter Standalone" sheetId="87" state="hidden" r:id="rId17"/>
    <sheet name="Full_scale_compression" sheetId="74" state="hidden" r:id="rId18"/>
    <sheet name="PRACH_Short_format" sheetId="75" state="hidden" r:id="rId19"/>
    <sheet name="Feature_validation" sheetId="77" state="hidden" r:id="rId20"/>
    <sheet name="SIM Testvectors" sheetId="86" r:id="rId21"/>
    <sheet name="List of Features" sheetId="90" state="hidden" r:id="rId22"/>
    <sheet name="HW_Validation" sheetId="83" state="hidden" r:id="rId23"/>
    <sheet name="Feature_validation (2)" sheetId="81" state="hidden" r:id="rId24"/>
    <sheet name="test_vector_list" sheetId="79" state="hidden" r:id="rId25"/>
    <sheet name="IFFT-FFT Standalone simulation" sheetId="63" state="hidden" r:id="rId26"/>
    <sheet name="DUC Standalone simulation" sheetId="64" state="hidden" r:id="rId27"/>
    <sheet name="DDC Standalone simulation" sheetId="65" state="hidden" r:id="rId28"/>
    <sheet name="PRACH Standalone simulation" sheetId="66" state="hidden" r:id="rId29"/>
    <sheet name="cu-coupling_100MHz_9000" sheetId="59" state="hidden" r:id="rId30"/>
    <sheet name="cu-coupling_60MHz_9000" sheetId="60" state="hidden" r:id="rId31"/>
    <sheet name="cu-coupling_100MHz" sheetId="53" state="hidden" r:id="rId32"/>
    <sheet name="cu-coupling_60MHz" sheetId="54" state="hidden" r:id="rId33"/>
    <sheet name="CU Plane Coupling - Use_cases" sheetId="57" state="hidden" r:id="rId34"/>
    <sheet name="HW Testvectors" sheetId="80" r:id="rId35"/>
  </sheets>
  <definedNames>
    <definedName name="_xlnm._FilterDatabase" localSheetId="1" hidden="1">LPBK!$A$2:$H$2</definedName>
    <definedName name="_xlnm._FilterDatabase" localSheetId="5" hidden="1">'oRAN-IP'!$A$1:$H$1</definedName>
    <definedName name="_xlnm._FilterDatabase" localSheetId="4" hidden="1">'oRAN-IP_BU'!$A$3:$H$3</definedName>
    <definedName name="_Toc135226754" localSheetId="0">'File Based_Phase 1'!$B$5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90" l="1"/>
  <c r="A15" i="90"/>
  <c r="A14" i="90"/>
  <c r="A13" i="90"/>
  <c r="A12" i="90"/>
  <c r="A3" i="90"/>
  <c r="A19" i="77" l="1"/>
  <c r="A18" i="77"/>
  <c r="A3" i="77" l="1"/>
  <c r="A4" i="77" s="1"/>
  <c r="A5" i="77" s="1"/>
  <c r="A6" i="77" s="1"/>
  <c r="A7" i="77" l="1"/>
  <c r="A8" i="77" s="1"/>
  <c r="A9" i="77" s="1"/>
  <c r="A10" i="77" s="1"/>
  <c r="A11" i="77" l="1"/>
  <c r="A12" i="77" l="1"/>
  <c r="A13" i="77" l="1"/>
  <c r="A14" i="77" s="1"/>
  <c r="A15" i="77" s="1"/>
  <c r="A16" i="77" s="1"/>
  <c r="A17" i="77" s="1"/>
  <c r="A22" i="77" l="1"/>
  <c r="A23" i="77" s="1"/>
  <c r="A24" i="77" s="1"/>
  <c r="A25" i="77" s="1"/>
  <c r="A26" i="77" s="1"/>
  <c r="A27" i="77" s="1"/>
  <c r="A28" i="77" s="1"/>
  <c r="A29" i="77" s="1"/>
  <c r="A30" i="77" s="1"/>
  <c r="A31" i="77" s="1"/>
  <c r="A32" i="77" s="1"/>
  <c r="A33" i="77" s="1"/>
  <c r="A34" i="77" s="1"/>
  <c r="A35" i="77" s="1"/>
  <c r="A36" i="77" s="1"/>
  <c r="A37" i="77" s="1"/>
  <c r="A38" i="77" s="1"/>
  <c r="A39" i="77" s="1"/>
  <c r="A40" i="77" s="1"/>
  <c r="A41" i="77" s="1"/>
  <c r="A42" i="77" s="1"/>
  <c r="A43" i="77" s="1"/>
  <c r="A20" i="77"/>
  <c r="A21" i="7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tc={DE17D6D1-D730-4DE9-B6B3-A94B35AA9539}</author>
    <author>tc={C507B91D-E1B0-4BC6-888A-C7CCCDF64E73}</author>
    <author>tc={6A5BAF16-AA2E-4AD3-8721-A67C0BBA7627}</author>
    <author>tc={B601558C-656B-47BF-A3CF-E204185D5173}</author>
    <author>tc={34958DB1-351B-4688-8E47-0F014ACD6861}</author>
    <author>tc={628DACE9-AB2E-431D-B403-93682BD165AA}</author>
  </authors>
  <commentList>
    <comment ref="A4" authorId="0" shapeId="0" xr:uid="{DE17D6D1-D730-4DE9-B6B3-A94B35AA9539}">
      <text>
        <t xml:space="preserve">[Threaded comment]
Your version of Excel allows you to read this threaded comment; however, any edits to it will get removed if the file is opened in a newer version of Excel. Learn more: https://go.microsoft.com/fwlink/?linkid=870924
Comment:
    @Aravind Srinivasan , Add test case for C and U Plane Fragmentation
</t>
      </text>
    </comment>
    <comment ref="B4" authorId="1" shapeId="0" xr:uid="{C507B91D-E1B0-4BC6-888A-C7CCCDF64E73}">
      <text>
        <t xml:space="preserve">[Threaded comment]
Your version of Excel allows you to read this threaded comment; however, any edits to it will get removed if the file is opened in a newer version of Excel. Learn more: https://go.microsoft.com/fwlink/?linkid=870924
Comment:
    @Aravind Srinivasan Add testcase for fragmentation With and Without Compression </t>
      </text>
    </comment>
    <comment ref="A8" authorId="2" shapeId="0" xr:uid="{6A5BAF16-AA2E-4AD3-8721-A67C0BBA7627}">
      <text>
        <t>[Threaded comment]
Your version of Excel allows you to read this threaded comment; however, any edits to it will get removed if the file is opened in a newer version of Excel. Learn more: https://go.microsoft.com/fwlink/?linkid=870924
Comment:
    @Aravind Srinivasan , If lower bound and upper bound values are more than 2.56 s, you need to offset it by
- 2.56 s (wrapping period 2.56 s, O-RAN spec v9.0 WG4, 7.5.2.4.), Please add one testcase to address this. i.e Window feature testing during Frame counter ROLL OVER</t>
      </text>
    </comment>
    <comment ref="B8" authorId="3" shapeId="0" xr:uid="{B601558C-656B-47BF-A3CF-E204185D5173}">
      <text>
        <t xml:space="preserve">[Threaded comment]
Your version of Excel allows you to read this threaded comment; however, any edits to it will get removed if the file is opened in a newer version of Excel. Learn more: https://go.microsoft.com/fwlink/?linkid=870924
Comment:
    @Aravind Srinivasan , Add testcase for the following cases: DL Early, DL Late, UL Early, UL Late, Packets within  window cases 
</t>
      </text>
    </comment>
    <comment ref="C8" authorId="4" shapeId="0" xr:uid="{34958DB1-351B-4688-8E47-0F014ACD6861}">
      <text>
        <t>[Threaded comment]
Your version of Excel allows you to read this threaded comment; however, any edits to it will get removed if the file is opened in a newer version of Excel. Learn more: https://go.microsoft.com/fwlink/?linkid=870924
Comment:
    @Aravind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
      </text>
    </comment>
    <comment ref="C11" authorId="5" shapeId="0" xr:uid="{628DACE9-AB2E-431D-B403-93682BD165AA}">
      <text>
        <t>[Threaded comment]
Your version of Excel allows you to read this threaded comment; however, any edits to it will get removed if the file is opened in a newer version of Excel. Learn more: https://go.microsoft.com/fwlink/?linkid=870924
Comment:
    @Aravind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tc={720576D2-CE66-4A1A-BEC0-E151B5186974}</author>
    <author>tc={59C92263-B503-46D2-9BF5-DF3F3204E05E}</author>
    <author>tc={EC3A63A2-77B0-4845-ACEA-EA2D526F9728}</author>
    <author>tc={6407F4B6-3A69-4835-8689-738AB11E9D31}</author>
  </authors>
  <commentList>
    <comment ref="A3" authorId="0" shapeId="0" xr:uid="{720576D2-CE66-4A1A-BEC0-E151B5186974}">
      <text>
        <t>[Threaded comment]
Your version of Excel allows you to read this threaded comment; however, any edits to it will get removed if the file is opened in a newer version of Excel. Learn more: https://go.microsoft.com/fwlink/?linkid=870924
Comment:
    @Aravind Srinivasan , If lower bound and upper bound values are more than 2.56 s, you need to offset it by
- 2.56 s (wrapping period 2.56 s, O-RAN spec v9.0 WG4, 7.5.2.4.), Please add one testcase to address this. i.e Window feature testing during Frame counter ROLL OVER</t>
      </text>
    </comment>
    <comment ref="B3" authorId="1" shapeId="0" xr:uid="{59C92263-B503-46D2-9BF5-DF3F3204E05E}">
      <text>
        <t xml:space="preserve">[Threaded comment]
Your version of Excel allows you to read this threaded comment; however, any edits to it will get removed if the file is opened in a newer version of Excel. Learn more: https://go.microsoft.com/fwlink/?linkid=870924
Comment:
    @Aravind Srinivasan , Add testcase for the following cases: DL Early, DL Late, UL Early, UL Late, Packets within  window cases 
</t>
      </text>
    </comment>
    <comment ref="C3" authorId="2" shapeId="0" xr:uid="{EC3A63A2-77B0-4845-ACEA-EA2D526F9728}">
      <text>
        <t>[Threaded comment]
Your version of Excel allows you to read this threaded comment; however, any edits to it will get removed if the file is opened in a newer version of Excel. Learn more: https://go.microsoft.com/fwlink/?linkid=870924
Comment:
    @Aravind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
      </text>
    </comment>
    <comment ref="C6" authorId="3" shapeId="0" xr:uid="{6407F4B6-3A69-4835-8689-738AB11E9D31}">
      <text>
        <t>[Threaded comment]
Your version of Excel allows you to read this threaded comment; however, any edits to it will get removed if the file is opened in a newer version of Excel. Learn more: https://go.microsoft.com/fwlink/?linkid=870924
Comment:
    @Aravind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tc={5C9BA7C4-CBAD-4D0A-906D-50F04D38A75C}</author>
    <author>tc={E1A411EA-C8BF-4395-986E-6D9802364F05}</author>
  </authors>
  <commentList>
    <comment ref="D6" authorId="0" shapeId="0" xr:uid="{5C9BA7C4-CBAD-4D0A-906D-50F04D38A75C}">
      <text>
        <t>[Threaded comment]
Your version of Excel allows you to read this threaded comment; however, any edits to it will get removed if the file is opened in a newer version of Excel. Learn more: https://go.microsoft.com/fwlink/?linkid=870924
Comment:
    @Annamalai Raj G , Please add TESTCASE for fragmentation size 1500
Reply:
    @Annamalai Raj G , Include 60MHz testcase</t>
      </text>
    </comment>
    <comment ref="E6" authorId="1" shapeId="0" xr:uid="{E1A411EA-C8BF-4395-986E-6D9802364F05}">
      <text>
        <t xml:space="preserve">[Threaded comment]
Your version of Excel allows you to read this threaded comment; however, any edits to it will get removed if the file is opened in a newer version of Excel. Learn more: https://go.microsoft.com/fwlink/?linkid=870924
Comment:
    @Annamalai Raj G , Add testcase with BFP9 bit Compression enable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Rajkumar Vellaichamy</author>
  </authors>
  <commentList>
    <comment ref="B39" authorId="0" shapeId="0" xr:uid="{BCD09BBC-9B61-4DEA-BA3E-29D26416D3AC}">
      <text>
        <r>
          <rPr>
            <b/>
            <sz val="9"/>
            <color indexed="81"/>
            <rFont val="Tahoma"/>
            <family val="2"/>
          </rPr>
          <t>Rajkumar Vellaichamy:</t>
        </r>
        <r>
          <rPr>
            <sz val="9"/>
            <color indexed="81"/>
            <rFont val="Tahoma"/>
            <family val="2"/>
          </rPr>
          <t xml:space="preserve">
After 30 minutes holdover when PTP is lost - (Disconnect PTP4l stack by CTRL-C, Check DL/UL captures without any drift)
After 2 minutes holdover when SyncE is lost - 
Soft holdover (Absence of PTP during 30 minutes if PTP is recovered): Normal Radio operation continues. No Need for a counter adjustment/reset
Hard holdover (Absence of SyncE during 2 minutes if SyncE is recovered): Reset counters/DSP scenario
Re-init when alpha-beta are programmed: Reset counters/DSP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tc={7AB698A8-CCC0-460C-9B39-04E8A0545B33}</author>
    <author>tc={F6D70CBF-F54F-432F-8EDF-5F4F71A47AF6}</author>
  </authors>
  <commentList>
    <comment ref="C1" authorId="0" shapeId="0" xr:uid="{7AB698A8-CCC0-460C-9B39-04E8A0545B33}">
      <text>
        <t>[Threaded comment]
Your version of Excel allows you to read this threaded comment; however, any edits to it will get removed if the file is opened in a newer version of Excel. Learn more: https://go.microsoft.com/fwlink/?linkid=870924
Comment:
    @Annamalai Raj G , Please add TESTCASE for fragmentation size 1500
Reply:
    @Annamalai Raj G , Include 60MHz testcase</t>
      </text>
    </comment>
    <comment ref="D1" authorId="1" shapeId="0" xr:uid="{F6D70CBF-F54F-432F-8EDF-5F4F71A47AF6}">
      <text>
        <t xml:space="preserve">[Threaded comment]
Your version of Excel allows you to read this threaded comment; however, any edits to it will get removed if the file is opened in a newer version of Excel. Learn more: https://go.microsoft.com/fwlink/?linkid=870924
Comment:
    @Annamalai Raj G , Add testcase with BFP9 bit Compression enable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tc={F3F2A519-035F-4E81-8D67-87C44D9CB7A6}</author>
    <author>tc={32C002A5-A2C0-44EA-B97C-77939B73443D}</author>
  </authors>
  <commentList>
    <comment ref="C1" authorId="0" shapeId="0" xr:uid="{F3F2A519-035F-4E81-8D67-87C44D9CB7A6}">
      <text>
        <t>[Threaded comment]
Your version of Excel allows you to read this threaded comment; however, any edits to it will get removed if the file is opened in a newer version of Excel. Learn more: https://go.microsoft.com/fwlink/?linkid=870924
Comment:
    @Annamalai Raj G , Please add TESTCASE for fragmentation size 1500
Reply:
    @Annamalai Raj G , Include 60MHz testcase</t>
      </text>
    </comment>
    <comment ref="D1" authorId="1" shapeId="0" xr:uid="{32C002A5-A2C0-44EA-B97C-77939B73443D}">
      <text>
        <t xml:space="preserve">[Threaded comment]
Your version of Excel allows you to read this threaded comment; however, any edits to it will get removed if the file is opened in a newer version of Excel. Learn more: https://go.microsoft.com/fwlink/?linkid=870924
Comment:
    @Annamalai Raj G , Add testcase with BFP9 bit Compression enable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tc={7565913F-C915-43D7-8A5E-330EB630D37B}</author>
    <author>tc={EE4FD963-431E-49B2-BFBB-6A048DEBBA77}</author>
  </authors>
  <commentList>
    <comment ref="C1" authorId="0" shapeId="0" xr:uid="{7565913F-C915-43D7-8A5E-330EB630D37B}">
      <text>
        <t>[Threaded comment]
Your version of Excel allows you to read this threaded comment; however, any edits to it will get removed if the file is opened in a newer version of Excel. Learn more: https://go.microsoft.com/fwlink/?linkid=870924
Comment:
    @Annamalai Raj G , Please add TESTCASE for fragmentation size 1500
Reply:
    @Annamalai Raj G , Include 60MHz testcase</t>
      </text>
    </comment>
    <comment ref="D1" authorId="1" shapeId="0" xr:uid="{EE4FD963-431E-49B2-BFBB-6A048DEBBA77}">
      <text>
        <t xml:space="preserve">[Threaded comment]
Your version of Excel allows you to read this threaded comment; however, any edits to it will get removed if the file is opened in a newer version of Excel. Learn more: https://go.microsoft.com/fwlink/?linkid=870924
Comment:
    @Annamalai Raj G , Add testcase with BFP9 bit Compression enable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tc={CED466F3-4357-45A4-BB7D-3B3721458C00}</author>
    <author>tc={7C5324B9-2A6B-416D-9FC9-DF704CD92C9E}</author>
  </authors>
  <commentList>
    <comment ref="C1" authorId="0" shapeId="0" xr:uid="{CED466F3-4357-45A4-BB7D-3B3721458C00}">
      <text>
        <t>[Threaded comment]
Your version of Excel allows you to read this threaded comment; however, any edits to it will get removed if the file is opened in a newer version of Excel. Learn more: https://go.microsoft.com/fwlink/?linkid=870924
Comment:
    @Annamalai Raj G , Please add TESTCASE for fragmentation size 1500
Reply:
    @Annamalai Raj G , Include 60MHz testcase</t>
      </text>
    </comment>
    <comment ref="D1" authorId="1" shapeId="0" xr:uid="{7C5324B9-2A6B-416D-9FC9-DF704CD92C9E}">
      <text>
        <t xml:space="preserve">[Threaded comment]
Your version of Excel allows you to read this threaded comment; however, any edits to it will get removed if the file is opened in a newer version of Excel. Learn more: https://go.microsoft.com/fwlink/?linkid=870924
Comment:
    @Annamalai Raj G , Add testcase with BFP9 bit Compression enable
</t>
      </text>
    </comment>
  </commentList>
</comments>
</file>

<file path=xl/sharedStrings.xml><?xml version="1.0" encoding="utf-8"?>
<sst xmlns="http://schemas.openxmlformats.org/spreadsheetml/2006/main" count="4882" uniqueCount="1249">
  <si>
    <t>S.No</t>
  </si>
  <si>
    <t>Testcase</t>
  </si>
  <si>
    <t>Description</t>
  </si>
  <si>
    <t>Status</t>
  </si>
  <si>
    <t>DFE Loopback</t>
  </si>
  <si>
    <t>DFE loopback is the default mode where the DL output from Interpolator is looped back to UL Input at the Decimator. 
All the blocks in DL path, UL path and in PRACH path will be verified with the checkers against Matlab Expected</t>
  </si>
  <si>
    <t>PASS</t>
  </si>
  <si>
    <t>IFFT-FFT Loopback</t>
  </si>
  <si>
    <t>The IFFT-FFT loopback mode is enabled via register configuration.
 All the blocks in IFFT-FFT loopback path are verified using checkers, the other block checkers are disabled</t>
  </si>
  <si>
    <t>DUC-DDC Loopback</t>
  </si>
  <si>
    <t>The DUC-DDC loopback mode is enabled via register configuration.
 All the blocks in DUC-DDC loopback path are verified using checkers, the other block checkers are disabled</t>
  </si>
  <si>
    <t>DL PATH</t>
  </si>
  <si>
    <t>In this mode we will verify the DL path alone by disabling the UL path and PRACH path.
All the blocks in DL path are verified via checkers. UL path and PRACH path block checkers are disabled in this mode.</t>
  </si>
  <si>
    <t>UL PATH</t>
  </si>
  <si>
    <t>In this mode we will verify the UL path alone by injecting the data at the Decimator block by reading the expected file of Interpolator block.
All the blocks in UL path and PRACH path are verified via checkers. DL path block checkers are disabled in this mode.</t>
  </si>
  <si>
    <t>PRB Blanking</t>
  </si>
  <si>
    <t>In this mode we will verify the PRB Blanking feature by skipping the 3rd 91 fragment packet in Symbol 0 AXC 0 and expect the FDV Buffer to insert 0’s for the missing 91 fragments.
 The expected files are created for the same scenario in MATLAB and compared against the observed. This feature is verified in IFFT-FFT Loopback mode</t>
  </si>
  <si>
    <t>Features</t>
  </si>
  <si>
    <t>CoverGroup</t>
  </si>
  <si>
    <t>CoverPoint</t>
  </si>
  <si>
    <t>Coverage Bins</t>
  </si>
  <si>
    <t>Testcase name</t>
  </si>
  <si>
    <t>SR_dfe_lpbk_cg</t>
  </si>
  <si>
    <t>dfe_lpbk_cp</t>
  </si>
  <si>
    <t>0 - Disable
1- Enable</t>
  </si>
  <si>
    <t>Yet to be started</t>
  </si>
  <si>
    <t>tc_dfe_lpbk</t>
  </si>
  <si>
    <t>SR_dfe_axc_sym_slot_sf_cg</t>
  </si>
  <si>
    <t>symbol_num_cp
slot_num_cp
sf_num_cp
axc_num_cp</t>
  </si>
  <si>
    <t>0 to 13
0 and 1
0
0 to 7</t>
  </si>
  <si>
    <t>Cross symbol_num_cp x slot_num_cp x sf_num_cp x  axc_num_cp</t>
  </si>
  <si>
    <t>SR_ifft_fft_lpbk_cg</t>
  </si>
  <si>
    <t>ifft_fft_lpbk_cp</t>
  </si>
  <si>
    <t>0- Disable
1- Enable</t>
  </si>
  <si>
    <t>tc_ifft_fft_lpbk</t>
  </si>
  <si>
    <t>SR_duc_ddc_lpbk_cg</t>
  </si>
  <si>
    <t>duc_ddc_lpbk_cp</t>
  </si>
  <si>
    <t>tc_duc_ddc_lpbk</t>
  </si>
  <si>
    <t>SR_prb_blanking_en_cg</t>
  </si>
  <si>
    <t>prb_blanking_cp</t>
  </si>
  <si>
    <t xml:space="preserve">axc_no 1 to 8
sym_no 1 to 14
slot 1 to 2
</t>
  </si>
  <si>
    <t>tc_prb_blanking</t>
  </si>
  <si>
    <t xml:space="preserve">C-U Plane Coupling via Section ID </t>
  </si>
  <si>
    <t>Information form C-Plane is apllied to the resource elements of U plane.
Input fed from PCAP , Expected is generated from MATLAB and compared against the DUT.</t>
  </si>
  <si>
    <t>SR_c_u_coupling_cg</t>
  </si>
  <si>
    <t>c_u_coupling_cp</t>
  </si>
  <si>
    <t>C-Plane Section ID 
U-Plane Section ID
Cross of Bin 1 and Bin 2</t>
  </si>
  <si>
    <t>tc_c_u_plane_coupling</t>
  </si>
  <si>
    <t>FDV Loopback</t>
  </si>
  <si>
    <t>FDV Loopback will be done via Register configuration</t>
  </si>
  <si>
    <t>SR_fdv_lpbk_cg</t>
  </si>
  <si>
    <t>fdv_lpbk_cp</t>
  </si>
  <si>
    <t>tc_fdv_lpbk</t>
  </si>
  <si>
    <t>CoverageBin</t>
  </si>
  <si>
    <t>Testcase Name</t>
  </si>
  <si>
    <t>tc_dl</t>
  </si>
  <si>
    <t>In this mode we will verify the UL path alone by injecting the data at the Decimator block by reading the expected file of Interpolator block.
All the blocks in UL path are verified via checkers. DL path block checkers are disabled in this mode.</t>
  </si>
  <si>
    <t>tc_ul</t>
  </si>
  <si>
    <t>UL PATH with PRACH</t>
  </si>
  <si>
    <t>In this mode we will verify the UL path with PRACH block by injecting the data at the Decimator block by reading the expected file of Interpolator block.
All the blocks in UL path and PRACH Path are verified via checkers. DL path block checkers are disabled in this mode.</t>
  </si>
  <si>
    <t>tc_ul_prach</t>
  </si>
  <si>
    <t>cuFragmentation with Compression
More cases are defined in 
1. cu-coupling_60MHz
2. cu-coupling_100MHz</t>
  </si>
  <si>
    <t>In this test we will configure fragmentation size into ORAN ip through registers .
MTU Size Randomized less than 1500 bytes. Start PRB and Num PRB values above the MTU Size</t>
  </si>
  <si>
    <t>SR_fragments_cg</t>
  </si>
  <si>
    <t>fragments_cp</t>
  </si>
  <si>
    <t>bins for all between 1 to 273</t>
  </si>
  <si>
    <t>tc_fragments_oran_above_mtu</t>
  </si>
  <si>
    <t>In this test we will configure fragmentation size into ORAN ip through registers .
MTU Size Randomized less than 1500 bytes. Start PRB and Num PRB values below the MTU Size</t>
  </si>
  <si>
    <t>tc_fragments_oran_below_mtu</t>
  </si>
  <si>
    <t>In this test we will configure fragmentation size into ORAN ip through registers .
MTU Size Randomized greater than 1500 bytes Jumbo frames .Start PRB and Num PRB values above MTU Size</t>
  </si>
  <si>
    <t>MTU_size_cp</t>
  </si>
  <si>
    <t>bins for &lt; 1500 bytes Normal Frame
 &gt;1500 Bytes Jumbo Frames</t>
  </si>
  <si>
    <t>tc_fragments_oran_above_mtu_jumbo</t>
  </si>
  <si>
    <t>In this test we will configure fragmentation size into ORAN ip through registers .
MTU Size Randomized greater than 1500 bytes Jumbo frames .Start PRB and Num PRB values below MTU Size</t>
  </si>
  <si>
    <t>tc_fragments_oran_below_mtu_jumbo</t>
  </si>
  <si>
    <t>ORAN 30KHz Timing Window</t>
  </si>
  <si>
    <t>In this test we will send packets within DL timing boundary and check whether packets are not dropped</t>
  </si>
  <si>
    <t>SR_timing_window_cg</t>
  </si>
  <si>
    <t>timing_window_dl_cp</t>
  </si>
  <si>
    <t>tc_timing_window_dl</t>
  </si>
  <si>
    <t>In this test we will send some packets early to the DL timing boundary and check whether that packets are dropped</t>
  </si>
  <si>
    <t>tc_timing_window_dl_early</t>
  </si>
  <si>
    <t>In this test we will send some packets late to the DL timing boundary and check whether packets are dropped</t>
  </si>
  <si>
    <t>tc_timing_window_dl_late</t>
  </si>
  <si>
    <t>In this test we will send packets within UL timing boundary and check whether packets are not dropped</t>
  </si>
  <si>
    <t>timing_window_ul_cp</t>
  </si>
  <si>
    <t>tc_timing_window_ul</t>
  </si>
  <si>
    <t>In this test we will send some packets early to the UL timing boundary and check whether packets are dropped</t>
  </si>
  <si>
    <t>tc_timing_window_ul_early</t>
  </si>
  <si>
    <t>In this test we will send some packets late to the UL timing boundary and check whether packets are dropped</t>
  </si>
  <si>
    <t>tc_timing_window_ul_late</t>
  </si>
  <si>
    <t>In this test we will send packets after the Frame timing boundary Roll Over and check whether packets are processed properly</t>
  </si>
  <si>
    <t>tc_timing_window_roll_over</t>
  </si>
  <si>
    <t>CU Plane Coupling</t>
  </si>
  <si>
    <t>C-U Plane Coupling will be done through section-ID</t>
  </si>
  <si>
    <t>tc_c_u_coupling</t>
  </si>
  <si>
    <t>A</t>
  </si>
  <si>
    <t>Oran Compression Single Section</t>
  </si>
  <si>
    <t>Single Section Compressed vectors</t>
  </si>
  <si>
    <t>SR_oran_comp_single_sec_cg</t>
  </si>
  <si>
    <t>comp_single_sec_cp</t>
  </si>
  <si>
    <t>tc_tc_fragments_oran_above_mtu</t>
  </si>
  <si>
    <t>B</t>
  </si>
  <si>
    <t>Multi Channel PRACH</t>
  </si>
  <si>
    <t xml:space="preserve">In this mode we will verify the PRACH block by injecting the data at PRACH block instead of reading from the mif file. 
</t>
  </si>
  <si>
    <t>tc_prach</t>
  </si>
  <si>
    <t>PRACH Antenna MUX</t>
  </si>
  <si>
    <t xml:space="preserve">In this test we will stand alonely verify the PRACH Antenna MUX block by injecting at its input and checking its output
</t>
  </si>
  <si>
    <t>tc_prach_ant_mux</t>
  </si>
  <si>
    <t>UL Antenna MUX</t>
  </si>
  <si>
    <t xml:space="preserve">In this test we will stand alonely verify the UL Antenna MUX block by injecting at its input and checking its output
</t>
  </si>
  <si>
    <t>tc_ul_ant_mux</t>
  </si>
  <si>
    <t>Uplink Arbiter</t>
  </si>
  <si>
    <t xml:space="preserve">In this test we will stand alonely verify the Uplink Arbiter  block by injecting both PRACH and PUSCH data and check whether Arbitration is done properly at its out.
</t>
  </si>
  <si>
    <t>tc_uplink_arbiter</t>
  </si>
  <si>
    <t>MTU Size= 4410 (91 PRBs)</t>
  </si>
  <si>
    <t>S.NO</t>
  </si>
  <si>
    <t xml:space="preserve">Packet Number </t>
  </si>
  <si>
    <t>Number of sections
(Can be Randomized)</t>
  </si>
  <si>
    <t>sectionid</t>
  </si>
  <si>
    <t>Slot_id</t>
  </si>
  <si>
    <t>startsymbolid</t>
  </si>
  <si>
    <t>syminc</t>
  </si>
  <si>
    <t>numsymbol</t>
  </si>
  <si>
    <t xml:space="preserve">rb </t>
  </si>
  <si>
    <t>startPRBc
(Can be randomized)</t>
  </si>
  <si>
    <t>numprbc
(can be randomized)</t>
  </si>
  <si>
    <t>testcase type</t>
  </si>
  <si>
    <t xml:space="preserve"> sending 3rd fragment message as first packet and 1st fragment message as second packet</t>
  </si>
  <si>
    <t>C-plane packet out of order</t>
  </si>
  <si>
    <t>tc_coupling_num_symbols</t>
  </si>
  <si>
    <t>_</t>
  </si>
  <si>
    <t>Receiving first fragment PRB in first packet and 3rd fragment in second packet for one symbol</t>
  </si>
  <si>
    <t xml:space="preserve"> =</t>
  </si>
  <si>
    <t>C-plane Message</t>
  </si>
  <si>
    <t>U - plane Message</t>
  </si>
  <si>
    <t>sending 1  cplane section for  3  uplane packets</t>
  </si>
  <si>
    <t>Fragmentation</t>
  </si>
  <si>
    <t>Receiving 3 fragmented packets for each symbol(5,6,7)</t>
  </si>
  <si>
    <t>sending multiple sections in one packet</t>
  </si>
  <si>
    <t>Combining multiple sections</t>
  </si>
  <si>
    <t>Received one c-plane message with two sections. Receiving one u-plane packet with two sections for each symbol(4,5)</t>
  </si>
  <si>
    <t>sending multiple sections in one packet with startprb other than 0</t>
  </si>
  <si>
    <t xml:space="preserve">Received one c-plane message with two sections. Receiving one u-plane packet with two sections for each symbol </t>
  </si>
  <si>
    <t>sending multiple sections in one packet without continous PRBs</t>
  </si>
  <si>
    <t xml:space="preserve">Received one c-plane message with three sections. Receiving one u-plane packet with three sections for each symbol </t>
  </si>
  <si>
    <t xml:space="preserve">sending multiple sections in one packet </t>
  </si>
  <si>
    <t>Combining multiple sections with fragmentation</t>
  </si>
  <si>
    <t>Received one c-plane message with three sections. Receiving one u-plane packet with three sections for each symbol and one packet with remaining PRBs.</t>
  </si>
  <si>
    <t>Dropping few PRBs for n number of symbols with different start symbolID</t>
  </si>
  <si>
    <t>Combining multiple sections with Fragmentation</t>
  </si>
  <si>
    <t xml:space="preserve">1. Receiving 6th symbol PRBs in one packet.
2. For 7th symbol, we are expecting 100 PRBs but we are receiving first 50 PRBs in one section and next 41 PRBs in another section in one packet and remaing 9 PRBs in another packet. Because we are configuring MTU size as 4410 (91 PRBs) which can send only 91 PRBs in one packet. similarly we are receiving 8th and 9th symbol packet.
</t>
  </si>
  <si>
    <t>MTU Size= 1500 ( PRBs)</t>
  </si>
  <si>
    <t xml:space="preserve">Use cases </t>
  </si>
  <si>
    <t>Test Case name</t>
  </si>
  <si>
    <t>Test Vector (pcap)</t>
  </si>
  <si>
    <t>Simulation Status</t>
  </si>
  <si>
    <t>60MHz - Compression</t>
  </si>
  <si>
    <t>In this test we are enabling compression, configuring the Bandwidth as 60MHz and MTU as 273 PRB's</t>
  </si>
  <si>
    <t>usecase1</t>
  </si>
  <si>
    <t>sr_coverage_cg</t>
  </si>
  <si>
    <t>sr_ud_comp_width_cp
sr_cc1_bw_cp
sr_cc2_bw_cp
sr_cc1_dis_cp
sr_cc2_dis_cp
sr_mtu_size_cp</t>
  </si>
  <si>
    <t>91 - compression enable
a - 60MHz
a - 60MHz
0 - cc1 enabled
0 - cc2 enabled
0 - 273 prbs</t>
  </si>
  <si>
    <t>tc_c_u_coupling_case_1_compress_60.sv</t>
  </si>
  <si>
    <t>test_60_9000_tc1_bfp9</t>
  </si>
  <si>
    <t>In this test we are enabling compression, configuring the Bandwidth as 60MHz and MTU as 31 fragmentation PRB's</t>
  </si>
  <si>
    <t>92 - compression enable
a - 60MHz
a - 60MHz
0 - cc1 enabled
0 - cc2 enabled
31- 31 frag prbs</t>
  </si>
  <si>
    <t>tc_c_u_coupling_case_1_compress_60_frag_31.sv</t>
  </si>
  <si>
    <t>In this test we are enabling compression, configuring the Bandwidth as 60MHz, and MTU as 91 fragmentation PRB's</t>
  </si>
  <si>
    <t>93 - compression enable
a - 60MHz
a - 60MHz
0 - cc1 enabled
0 - cc2 enabled
91 - 91 frag prbs</t>
  </si>
  <si>
    <t>tc_c_u_coupling_case_1_compress_60_frag_91.sv</t>
  </si>
  <si>
    <t>In this test we are enabling compression, configuring the Bandwidth as 60MHz, MTU as 273 PRB's, enabling cc2 and disabling cc1</t>
  </si>
  <si>
    <t>91 - compression enable
a - 60MHz
a - 60MHz
1 - cc1 disabled
0 - cc2 enabled
0 - 273 prbs</t>
  </si>
  <si>
    <t>tc_c_u_coupling_case_1_compress_60_cc1_dis.sv</t>
  </si>
  <si>
    <t>In this test we are enabling compression, configuring the Bandwidth as 60MHz, MTU as 273 PRB's, enabling cc1 and disabling cc2</t>
  </si>
  <si>
    <t>91 - compression enable
a - 60MHz
a - 60MHz
0 - cc1 enabled
1 - cc2 disabled
0 - 273 prbs</t>
  </si>
  <si>
    <t>tc_c_u_coupling_case_1_compress_60_cc2_dis.sv</t>
  </si>
  <si>
    <t>In this test we are enabling compression, configuring the Bandwidth as 60MHz, MTU as 273 PRB's and reversing the axc's</t>
  </si>
  <si>
    <t>tc_c_u_coupling_case_1_compress_60_eaxc.sv</t>
  </si>
  <si>
    <t>In this test we are enabling compression, configuring the Bandwidth as 60MHz, MTU as 273 PRB's and  the axc's values are  random numbers.</t>
  </si>
  <si>
    <t>usecase2</t>
  </si>
  <si>
    <t>92 - compression enable
a - 60MHz
a - 60MHz
0 - cc1 enabled
0 - cc2 enabled
0 - 273 prbs</t>
  </si>
  <si>
    <t>tc_c_u_coupling_case_1_compress_60_eaxc_large.sv</t>
  </si>
  <si>
    <t>100MHz - Compression</t>
  </si>
  <si>
    <t>In this test we are enabling compression, configuring the Bandwidth as 100MHz and MTU as 273 PRB's</t>
  </si>
  <si>
    <t>91 - compression enable
e - 100MHz
e - 100MHz
0 - cc1 enabled
0 - cc2 enabled
0 - 273 prbs</t>
  </si>
  <si>
    <t>tc_c_u_coupling_case_1_compress.sv</t>
  </si>
  <si>
    <t>test_100_9000_tc1_bfp9</t>
  </si>
  <si>
    <t>In this test we are enabling compression, configuring the Bandwidth as 100MHz and MTU as 31 fragmentation PRB's</t>
  </si>
  <si>
    <t>92 - compression enable
e - 100MHz
e - 100MHz
0 - cc1 enabled
0 - cc2 enabled
31- 31 frag prbs</t>
  </si>
  <si>
    <t>tc_c_u_coupling_case_1_compress_frag_31.sv</t>
  </si>
  <si>
    <t>In this test we are enabling compression, configuring the Bandwidth as 100MHz, and MTU as 91 fragmentation PRB's</t>
  </si>
  <si>
    <t>93 - compression enable
e - 100MHz
e - 100MHz
0 - cc1 enabled
0 - cc2 enabled
91 - 91 frag prbs</t>
  </si>
  <si>
    <t>tc_c_u_coupling_case_1_compress_frag_91.sv</t>
  </si>
  <si>
    <t>In this test we are enabling compression, configuring the Bandwidth as 100MHz, MTU as 273 PRB's, enabling cc2 and disabling cc1</t>
  </si>
  <si>
    <t>91 - compression enable
e - 100MHz
e - 100MHz
1 - cc1 disabled
0 - cc2 enabled
0 - 273 prbs</t>
  </si>
  <si>
    <t>tc_c_u_coupling_case_1_compress_cc1_dis.sv</t>
  </si>
  <si>
    <t>In this test we are enabling compression, configuring the Bandwidth as 100MHz, MTU as 273 PRB's, enabling cc1 and disabling cc2</t>
  </si>
  <si>
    <t>91 - compression enable
e - 100MHz
e - 100MHz
0 - cc1 enabled
1 - cc2 disabled
0 - 273 prbs</t>
  </si>
  <si>
    <t>tc_c_u_coupling_case_1_compress_cc2_dis.sv</t>
  </si>
  <si>
    <t>60MHz - No Compression</t>
  </si>
  <si>
    <t>In this test we are disabling compression, configuring the Bandwidth as 60MHz, and MTU as 273 PRB's</t>
  </si>
  <si>
    <t>0 - compression disable
a - 60MHz
a - 60MHz
0 - cc1 enabled
0 - cc2 enabled
0 - 273 prbs</t>
  </si>
  <si>
    <t>tc_c_u_coupling_case_1_no_compress_60.sv</t>
  </si>
  <si>
    <t>test_60_9000_tc1</t>
  </si>
  <si>
    <t>In this test we are disabling compression, configuring the Bandwidth as 60MHz, and MTU as 31 fragmentation PRB's</t>
  </si>
  <si>
    <t>0 - compression disable
a - 60MHz
a - 60MHz
0 - cc1 enabled
0 - cc2 enabled
31- 31 frag prbs</t>
  </si>
  <si>
    <t>tc_c_u_coupling_case_1_no_compress_60_frag_31.sv</t>
  </si>
  <si>
    <t>In this test we are disabling compression, configuring the Bandwidth as 60MHz, and MTU as 91 fragmentation PRB's</t>
  </si>
  <si>
    <t>0 - compression disable
a - 60MHz
a - 60MHz
0 - cc1 enabled
0 - cc2 enabled
91 - 91 frag prbs</t>
  </si>
  <si>
    <t>tc_c_u_coupling_case_1_no_compress_60_frag_91.sv</t>
  </si>
  <si>
    <t>In this test we are disabling compression, configuring the Bandwidth as 60MHz, MTU as 273 PRB's, enabling cc2 and disabling cc1</t>
  </si>
  <si>
    <t>0 - compression disable
a - 60MHz
a - 60MHz
1 - cc1 disabled
0 - cc2 enabled
0 - 273 prbs</t>
  </si>
  <si>
    <t>tc_c_u_coupling_case_1_no_compress_60_cc1_dis.sv</t>
  </si>
  <si>
    <t>In this test we are disabling compression, configuring the Bandwidth as 60MHz, MTU as 273 PRB's, enabling cc1 and disabling cc2</t>
  </si>
  <si>
    <t>0 - compression disable
a - 60MHz
a - 60MHz
0 - cc1 enabled
1 - cc2 disabled
0 - 273 prbs</t>
  </si>
  <si>
    <t>tc_c_u_coupling_case_1_no_compress_60_cc2_dis.sv</t>
  </si>
  <si>
    <t>100MHz - No Compression</t>
  </si>
  <si>
    <t>In this test we are disabling compression, configuring the Bandwidth as 100MHz, and MTU as 273 PRB's</t>
  </si>
  <si>
    <t>0 - compression disable
e - 100MHz
e - 100MHz
0 - cc1 enabled
0 - cc2 enabled
0 - 273 prbs</t>
  </si>
  <si>
    <t>tc_c_u_coupling_case_1_no_compress.sv</t>
  </si>
  <si>
    <t>test_100_9000_tc1</t>
  </si>
  <si>
    <t>In this test we are disabling compression, configuring the Bandwidth as 100MHz, and MTU as 31 fragmentation PRB's</t>
  </si>
  <si>
    <t>0 - compression disable
e - 100MHz
e - 100MHz
0 - cc1 enabled
0 - cc2 enabled
31- 31 frag prbs</t>
  </si>
  <si>
    <t>tc_c_u_coupling_case_1_no_compress_frag_31.sv</t>
  </si>
  <si>
    <t>In this test we are disabling compression, configuring the Bandwidth as 100MHz, and MTU as 91 fragmentation PRB's</t>
  </si>
  <si>
    <t>0 - compression disable
e - 100MHz
e - 100MHz
0 - cc1 enabled
0 - cc2 enabled
91 - 91 frag prbs</t>
  </si>
  <si>
    <t>tc_c_u_coupling_case_1_no_compress_frag_91.sv</t>
  </si>
  <si>
    <t>In this test we are disabling compression, configuring the Bandwidth as 100MHz, MTU as 273 PRB's, enabling cc2 and disabling cc1</t>
  </si>
  <si>
    <t>0 - compression disable
e - 100MHz
e - 100MHz
1 - cc1 disabled
0 - cc2 enabled
0 - 273 prbs</t>
  </si>
  <si>
    <t>tc_c_u_coupling_case_1_no_compress_cc1_dis.sv</t>
  </si>
  <si>
    <t>In this test we are disabling compression, configuring the Bandwidth as 100MHz, MTU as 273 PRB's, enabling cc1 and disabling cc2</t>
  </si>
  <si>
    <t>0 - compression disable
e - 100MHz
e - 100MHz
0 - cc1 enabled
1 - cc2 disabled
0 - 273 prbs</t>
  </si>
  <si>
    <t>tc_c_u_coupling_case_1_no_compress_cc2_dis.sv</t>
  </si>
  <si>
    <t>UL Injection</t>
  </si>
  <si>
    <t>In this test we are configuring the Bandwidth as 100MHz, the u-plane input is given at input of c-u coupling block and the c-plane information is injected at DL.</t>
  </si>
  <si>
    <t>tc_fft_injection_ul_100mhz.sv</t>
  </si>
  <si>
    <t>DFE LOOPBACK</t>
  </si>
  <si>
    <t>In this test we are enabling compression, configuring the Bandwidth as 100MHz , MTU as 273 PRB's and FS_Offset as 12.</t>
  </si>
  <si>
    <t>pp_coverage_cg</t>
  </si>
  <si>
    <t>pp_ud_comp_width_cp
pp_cc1_bw_cp
pp_cc2_bw_cp
pp_cc1_dis_cp
pp_cc2_dis_cp
pp_mtu_size_cp</t>
  </si>
  <si>
    <t>tcs_01_100_9000_tc1_bfp9_fs_12</t>
  </si>
  <si>
    <t xml:space="preserve">100MHz Compression -Multisection </t>
  </si>
  <si>
    <t xml:space="preserve">In this test, all symbols and AXC's are present. In slot 0, the PRBs are divided unevenly and in slot 1, PRBs are divided evenly among the sections. We are configuring FS_Offset as 10. </t>
  </si>
  <si>
    <t>tc_multi_sec.sv</t>
  </si>
  <si>
    <t>tcs_15_100_9000_tc3_bfp9_fs_10_cc1_m1</t>
  </si>
  <si>
    <t>tcs_11_100_9000_tc1_bfp9_eaxc_cfg_21_fs_6</t>
  </si>
  <si>
    <t>In this test we are enabling compression, configuring the Bandwidth as 60MHz, MTU as 273 PRB's and FS_Offset as 10.</t>
  </si>
  <si>
    <t>91 - compression enable
a - 60MHz
a - 60MHz
0 - cc1 enabled
0 - cc2 enabled
0 - 162 prbs</t>
  </si>
  <si>
    <t>tcs_02_60_9000_tc1_bfp9_fs_10</t>
  </si>
  <si>
    <t>91 - compression enable
a - 60MHz
a - 60MHz
0 - cc1 enabled
1 - cc2 disabled
0 - 162 prbs</t>
  </si>
  <si>
    <t>DUC-DDC - Delay testing</t>
  </si>
  <si>
    <t>In this test we are configuring FS_Offset as 0 and we will configure 2 delays in DUC and DDC blocks and check against the expected Compression disabled.</t>
  </si>
  <si>
    <t>No compression
e - 100MHz
e - 100MHz
0 - cc1 enabled
0 - cc2 enabled
0 - 273 prbs</t>
  </si>
  <si>
    <t>tc_delay_compensation.sv</t>
  </si>
  <si>
    <t>tcs_05_100_9000_tc1_fs_0</t>
  </si>
  <si>
    <t>Mixed Bandwidth</t>
  </si>
  <si>
    <t>In this test cc1  is 100MHz and cc2 is 60MHz and FS_Offset is configured as 12.</t>
  </si>
  <si>
    <t>91 - compression enable
e - 100MHz
a - 60MHz
0 - cc1 enabled
0 - cc2 enabled
0 - 273 prbs</t>
  </si>
  <si>
    <t>tc_c_u_coupling_case_1_compress_mixed.sv</t>
  </si>
  <si>
    <t>tcs_03_100_60_9000_tc1_bfp9_fs_12</t>
  </si>
  <si>
    <t>Register Write and Read</t>
  </si>
  <si>
    <t>In this Test we will write all the registers  used in sumulation in DFE and read those registers and check against the written values.</t>
  </si>
  <si>
    <t>tc_write_read_dfe_registers.sv</t>
  </si>
  <si>
    <t>Reset Value check Test</t>
  </si>
  <si>
    <t xml:space="preserve">In this Test we will check the POR values of all the DFE registers used in simulation against the values mentioned in FID POR. </t>
  </si>
  <si>
    <t>tc_reg_hw_reset.sv</t>
  </si>
  <si>
    <t>Window On Time Test</t>
  </si>
  <si>
    <t>In this test we are configuring FS_Offset as 12 and we will enable Rx and Tx Window for PDSCH and PUSCH by configuring window boundary values
Rx Window Time (Uplane) = 206us 
Rx Window Time (Cplane) = 457us
Tx Window Time = 150us
Since TOD is a running counter we initialize TOD POR value based on the nearest 2.56s frame boundary value of 15.36 from which approx. 280us of DL Delay is subtracted and configured as TOD POR value with 15.36s - 0.00028s = 15.35972s</t>
  </si>
  <si>
    <t>tc_window_on_time.sv</t>
  </si>
  <si>
    <t>IFFT-FFT LOOPBACK</t>
  </si>
  <si>
    <t xml:space="preserve">In this test we are enabling compression, configuring the Bandwidth as 100MHz, MTU as 273 PRB's and FS_Offset as 12. </t>
  </si>
  <si>
    <t>In this test we are enabling compression, configuring the Bandwidth as 100MHz, MTU as 273 PRB's, FS_Offset as 12, enabling cc2 and disabling cc1.</t>
  </si>
  <si>
    <t>91 - compression enable
e - 100MHz
e - 100MHz
0 - cc2 enabled
1 - cc1 disabled
0 - 273 prbs</t>
  </si>
  <si>
    <t>01_test_100_9000_tc1_bfp9_fs_12</t>
  </si>
  <si>
    <t>60MHz-Compression</t>
  </si>
  <si>
    <t>In this test we are enabling compression, configuring the Bandwidth as 60MHz, MTU as 273 PRB's, FS_Offset as 10, enabling cc2 and disabling cc1</t>
  </si>
  <si>
    <t>91 - compression enable
a - 60MHz
a - 60MHz
0 - cc2 enabled
1 - cc1 disabled
0 - 162 prbs</t>
  </si>
  <si>
    <t>06_test_60_9000_tc1_bfp9_fs_10</t>
  </si>
  <si>
    <t>Phase Compensation Testing</t>
  </si>
  <si>
    <t>In this test we are configuring FS_Offset as 12 and we are changing the phase value and check whether the phase compensated value is observed --- 100 MHz</t>
  </si>
  <si>
    <t>tc_c_u_coupling_case_1_compress_phasecomp.sv</t>
  </si>
  <si>
    <t>In this test, we are configuring FS_Offset as 10 and  we are changing the phase value and check whether the phase compensated value is observed --- 60 MHz</t>
  </si>
  <si>
    <t>91 - compression enable
a - 60MHz
a - 60MHz
0 - cc2 enabled
0 - cc1 disabled
0 - 162 prbs</t>
  </si>
  <si>
    <t>tc_c_u_coupling_case_1_compress_60_phasecomp.sv</t>
  </si>
  <si>
    <t>In this test cc1 is 60MHz and cc2 is 100MHz and we are configuring FS_Offset as 14.</t>
  </si>
  <si>
    <t>91 - compression enable
a - 60MHz
e - 100MHz
0 - cc1 enabled
0 - cc2 enabled
0 - 273 prbs</t>
  </si>
  <si>
    <t>tc_c_u_coupling_case_1_compress_mixed_60_100.sv</t>
  </si>
  <si>
    <t>tcs_04_60_100_9000_tc1_bfp9_fs_14</t>
  </si>
  <si>
    <t>In this test, we are configuring FS_Offset as 7 in all Subframes
      slot 0 and 1 - 182 prb's (we are blanking 0 to 91 prb's)</t>
  </si>
  <si>
    <t xml:space="preserve">91 - compression enable
a - 60MHz
e - 100MHz
0 - cc1 enabled
0 - cc2 enabled
92- 272 prbs (SF 0 Slot 1)          0-181 prbs (SF 1 Slot 1)  0-273 prbs (SF 0 Slot 0 &amp; SF 1 Slot 0)             </t>
  </si>
  <si>
    <t>tc_prb_blanking_case_1_compression.sv</t>
  </si>
  <si>
    <t>tcs_07_100_9000_tc1_bfp9_prb_blank_fs_07</t>
  </si>
  <si>
    <t>In this test, we are configuring FS_Offset as 6 and in Subframe 0
   slot 0 - 162 prb's
   slot 1 - 71 prb's (we are blanking 0 to 90 prb's)
and in Subframe 1
   slot 0 - 162 prb's
   slot 1 - 71 prb's (we are blanking 71 to 161 prb's)                                                                                                                                                                            and observe whether FDV is adding zeros for blanked prb's</t>
  </si>
  <si>
    <t xml:space="preserve">91 - compression enable
a - 60MHz
e - 100MHz
0 - cc1 enabled
0 - cc2 enabled
91- 162 prbs (SF 0 Slot 1)          0-70 prbs (SF 1 Slot 1)  0-162 prbs (SF 0 Slot 0 &amp; SF 1 Slot 0)             </t>
  </si>
  <si>
    <t>tc_prb_blanking_case_2_compression.sv</t>
  </si>
  <si>
    <t>tcs_08_60_9000_tc1_bfp9_prb_blank_fs_6</t>
  </si>
  <si>
    <t>eAXC Blanking</t>
  </si>
  <si>
    <t>In this test, one eAXC is blanked and check whether fdv is adding 0's for blanked eAXC in downlink and in uplink side we wil check whether the blanked eAXC is not coming at the output. We are configuring FS_Offset as 4.</t>
  </si>
  <si>
    <t>tc_eaxc_blanking_case_1_compression.sv</t>
  </si>
  <si>
    <t>tcs_06_100_9000_tc1_bfp9_blank_1_axc_fs_4</t>
  </si>
  <si>
    <t>Symbol Blanking</t>
  </si>
  <si>
    <t>tc_compression_symbol_blanking.sv</t>
  </si>
  <si>
    <t>tcs_12_100_9000_tc1_bfp9_fs_12_sym_blank_cc1_m1</t>
  </si>
  <si>
    <t>Symbol Blanking + AXC Blanking</t>
  </si>
  <si>
    <t>In this test, we are blanking 4 Symbols and 2 AXCs in each slot and observe whether FDV is adding zeros for blanked Symbols and AXCs.  We are configuring FS_Offset as 12.</t>
  </si>
  <si>
    <t>tc_compression_symbol_axc_blanking.sv</t>
  </si>
  <si>
    <t>tcs_13_100_9000_tc1_bfp9_fs_12_sym_axc_blank_cc1_m1</t>
  </si>
  <si>
    <t>Multisection AXC + Symbol + PRB Blanking</t>
  </si>
  <si>
    <r>
      <rPr>
        <sz val="11"/>
        <color theme="1"/>
        <rFont val="Calibri"/>
        <family val="2"/>
        <scheme val="minor"/>
      </rPr>
      <t xml:space="preserve">In this test, we are blanking AXCs 1 and 3 in both slots,    In slot 0, Symbols 0,8 and 13 are blanked. From Symbols 1-7, PRBs 0-95 are blanked and for symbols 9-12, PRBs 0-128 are blanked.  In slot 1, Symbols 2,3,4 and 13 are blanked. For Symbols 0-1,   223-273 PRBs are blanked and for Symbols 5-12,   0-90 and 182-272 PRBs are blanked for multiple sections. We are configuring FS_Offset as  10.                                                                                                              </t>
    </r>
  </si>
  <si>
    <t xml:space="preserve"> tc_multi_sec_sym_axc_prb_blanking.sv</t>
  </si>
  <si>
    <t>tcs_20_100_9000_tc3_bfp9_fs_10_axc_sym_prb_blank_cc1_m2</t>
  </si>
  <si>
    <t xml:space="preserve">
C-plane Configuration Index 27</t>
  </si>
  <si>
    <t>In this test case, we are configuring FS_Offset as 12 and we will test prach long format configuration index 27 (Long Preamble Format 0, default configuration) via C-Plane Packets which will be sent in DL and with NCOs value of 424738816</t>
  </si>
  <si>
    <t>tc_prach_long_format_c_plane.sv</t>
  </si>
  <si>
    <t>In this test case, we are configuring FS_Offset as 12, enabling CC1, disabling CC2 and we will test prach longformat configuration index 27 (Long Preamble Format 0, default configuration) via C-Plane Packets which will be sent in DL and with NCOs value of 424738817</t>
  </si>
  <si>
    <t>tc_prach_long_format_c_plane_cc2dis.sv</t>
  </si>
  <si>
    <t>tcs_25_100_9000_tc1_bfp9_fs_7_prb_blank_cc1_m1</t>
  </si>
  <si>
    <t>M-Plane configuration Index A7</t>
  </si>
  <si>
    <t>In this test case we will test prach short format A7 . C-Plane Packets will be sent in DL and Pattern enabled to start the PRACH configured via M-Plane. We are configuring FS_Offset as 6.</t>
  </si>
  <si>
    <t>tc_prach_short_format_m_plane.sv</t>
  </si>
  <si>
    <t>tcs_14_100_9000_tc1_bfp9_fs_6_cc2_m2</t>
  </si>
  <si>
    <t>In this test case we will test prach short format M-Plane configuration index A7. Pattern is enabled and we are configuring FS_Offset as 5.</t>
  </si>
  <si>
    <t>tcs_21_100_9000_tc1_bfp9_fs_5_cc2_m2</t>
  </si>
  <si>
    <t>C-Plane configuration Index 167</t>
  </si>
  <si>
    <t>In this test case we will test prach short format C-Plane configuration index A7. Pattern is enabled and we are configuring FS_Offset as 5.</t>
  </si>
  <si>
    <t>tc_prach_short_format_c_plane.sv</t>
  </si>
  <si>
    <t>tcs_26_100_9000_tc1_bfp9_fs_5_cc1_m2</t>
  </si>
  <si>
    <t>C-Plane configuration Index 209</t>
  </si>
  <si>
    <t>In this test case, we are blanking 1st AXC for DL, UL &amp; PRACH to test prach short format C-Plane configuration index D1, PRACH data injected directly at PRACH IP. Pattern is disabled and we are configuring CFG_Index as 209, Freq_offset as 193, PID as 29 and FS_Offset as 1.</t>
  </si>
  <si>
    <t>tc_short_prach_ip_inj_cfg_idx209.sv</t>
  </si>
  <si>
    <t>tcs_22_100_9000_tc1_bfp9_fs_1_cc1_m2</t>
  </si>
  <si>
    <t>C-Plane configuration Index F0</t>
  </si>
  <si>
    <t>In this test case, we will test prach short format C-Plane configuration index F0, PRACH data injected directly at PRACH IP. Pattern is disabled and we are configuring CFG_Index as 240, Freq_offset as 0, PID as 23 and FS_Offset as 12.</t>
  </si>
  <si>
    <t>tc_short_prach_ip_inj_cfg_idx240.sv</t>
  </si>
  <si>
    <t>tcs_23_100_9000_tc1_bfp9_fs_12_cc1_m1</t>
  </si>
  <si>
    <t>C-Plane configuration Index 168</t>
  </si>
  <si>
    <t>In this test case, we will test prach short format C-Plane configuration index 168, PRACH data injected directly at PRACH IP. Pattern is disabled and we are configuring CFG_Index as 168 and FS_Offset as 5.</t>
  </si>
  <si>
    <t>tc_short_prach_ip_inj_cfg_idx168.sv</t>
  </si>
  <si>
    <t>tcs_28_cfg_168_100_9000_tc1_bfp9_fs_5_cc1_m2</t>
  </si>
  <si>
    <t>C-Plane configuration Index 86</t>
  </si>
  <si>
    <t>In this test case, we will test prach short format C-Plane configuration index 86, PRACH data injected directly at PRACH IP. Pattern is disabled and we are configuring CFG_Index as 86 and FS_Offset as 5.</t>
  </si>
  <si>
    <t>tc_short_prach_ip_inj_cfg_idx86.sv</t>
  </si>
  <si>
    <t>tcs_27_cfg_86_100_9000_tc1_bfp9_fs_5_cc1_m2</t>
  </si>
  <si>
    <t>Compression test vectors</t>
  </si>
  <si>
    <t>Date</t>
  </si>
  <si>
    <t>BUILD NAME</t>
  </si>
  <si>
    <t>SYS ID</t>
  </si>
  <si>
    <t>single</t>
  </si>
  <si>
    <t>multiple</t>
  </si>
  <si>
    <t>sec drop</t>
  </si>
  <si>
    <t>AZURE/LOCAL SOF PATH</t>
  </si>
  <si>
    <t>Observations</t>
  </si>
  <si>
    <t>Section Id updated based on valid</t>
  </si>
  <si>
    <t>secdrop</t>
  </si>
  <si>
    <t>Commit 7d55ade8: sec_id fix</t>
  </si>
  <si>
    <t>Sec_id_fix</t>
  </si>
  <si>
    <t>In this test, downlink cplane information is injected at down link and PUSCH &amp; Short PRACH are injected directly at coupling. We are configuring FS_Offset as 11.</t>
  </si>
  <si>
    <t>01_test_100_9000_tc1_bfp9_cfg_167_fs_11</t>
  </si>
  <si>
    <t xml:space="preserve">In this test, downlink cplane information multi Symbol is injected at down link . PUSCH &amp; Long PRACH are scheduled for all subframes (As per C-Plane DSPBA PRACH output) are injected directly at coupling.  </t>
  </si>
  <si>
    <t>tc_c_u_coupling_case_2_compress.sv</t>
  </si>
  <si>
    <t xml:space="preserve">In this test, downlink cplane information multi Section is injected at down link . PUSCH &amp; Long PRACH are scheduled for all subframes (As per C-Plane DSPBA PRACH output) are injected directly at coupling.  </t>
  </si>
  <si>
    <t>tc_c_u_coupling_case_3_compress.sv</t>
  </si>
  <si>
    <t xml:space="preserve">In this test, downlink cplane information multi Section and Multi Symbol is injected at down link . PUSCH &amp; Long PRACH are scheduled for all subframes (As per C-Plane DSPBA PRACH output) are injected directly at coupling.  </t>
  </si>
  <si>
    <t>tc_c_u_coupling_case_4_compress.sv</t>
  </si>
  <si>
    <t>Coupling Testing - 100 + 100 MHz</t>
  </si>
  <si>
    <t>In this test, downlink cplane information is injected at down link with PRB Blanking (last 91 prb's) for slot 0 symbols of odd subframes. PUSCH &amp; Long PRACH are scheduled for all subframes (As per C-Plane DSPBA PRACH output) are injected directly at coupling. We are configuring FS_Offset as 7.</t>
  </si>
  <si>
    <t>tc_fft_injection_ul_long_cont_100mhz.sv</t>
  </si>
  <si>
    <t>In this test, we will test prach short format A7 where slot 0 of all the subframes will contain 12 symbols, injected directly at coupling. C-plane data will come from downlink.</t>
  </si>
  <si>
    <t>Coupling Testing - 60 + 60 MHz</t>
  </si>
  <si>
    <t>In this test, one C Plane packet will carry information for all 14 Symbol 60 + 60 and we will inject PUSCH &amp; Long PRACH directly at coupling. Even subframes are splitted unevenly and odd subframes are splitted evenly. We are configuring FS_Offset as 10.</t>
  </si>
  <si>
    <t>tc_fft_injection_ul_long_cont_60mhz.sv</t>
  </si>
  <si>
    <t>tcs_24_60_9000_tc1_bfp9_fs_10_m1</t>
  </si>
  <si>
    <t>100MHz - Compression
Fragmentation size 1500</t>
  </si>
  <si>
    <t>In this test, we are enabling compression, configuring bandwidth of 100MHz, FS_Offset as 12 and fragmenting 1500 bytes and PUSCH &amp; Long PRACH are directly injected at coupling.</t>
  </si>
  <si>
    <t>tc_c_u_coupling_case_1_compress_frag_1500.sv</t>
  </si>
  <si>
    <t>100MHz - No Compression
Fragmentation size 9000</t>
  </si>
  <si>
    <t>In this test, we are disabling compression, configuring bandwidth of 100MHz, FS_Offset as 0 and fragmenting 9000 bytes and we will inject PUSCH and Long PRACH directly at coupling.</t>
  </si>
  <si>
    <t>tc_c_u_coupling_case_1_no_compress_frag_9000.sv</t>
  </si>
  <si>
    <t>In this test, we are configuring FS_Offset as 12, bandwidth as 100MHz, enabling compression and in uplink side we will inject at decimator.</t>
  </si>
  <si>
    <t>tc_decimator_injection_ul.sv</t>
  </si>
  <si>
    <t>PRACH (1p25KHz) Window On-Time Test</t>
  </si>
  <si>
    <t>In this test case, we are configuring FS_Offset as 12 and we will test prach longformat configuration index 27 (Long Preamble Format 0, default configuration) by enabling Tx Window in ORAN IP with 1ms PRACH window time. We will inject downlink cplane information down link &amp; Long PRACH are scheduled  alternate subframes (As per C-Plane DSPBA PRACH output - 1,3,5,7,9) are injected directly at coupling.
 Since TOD is a running counter we initialize TOD POR value based on the nearest 2.56s frame boundary value of 15.36 from which approx. 280us of DL Delay is subtracted and configured as TOD POR value with 15.36s - 0.00028s = 15.35972s</t>
  </si>
  <si>
    <t>tc_fft_injection_prach_window_ontime.sv</t>
  </si>
  <si>
    <t>Coupling - eAXC Blanking CC2 disable</t>
  </si>
  <si>
    <t>In this test, CC2 is disabled (with AXCs 0, 2, 4, and 6), and the pcap file will contain data for only one CC. PUSCH &amp; Long PRACH (Cfg Index 21) are directly injected at coupling. We are configuring FS_Offset as 6.</t>
  </si>
  <si>
    <t>tc_eaxc_blanking_case_1_compression_cc2_dis.sv</t>
  </si>
  <si>
    <t>C-plane Configuration Index 24</t>
  </si>
  <si>
    <t>In this test case, we are configuring FS_Offset as 11 and we will test prach longformat configuration index 24 (Long Preamble Format 0, default configuration) for 2 consecutive subframes (4 &amp; 5) via C-Plane Packets which will be sent in DL and with NCOs value of 424738816. In DL,  0-6 symbols blanked in slot 0 &amp; 7-13 symbols blanked in slot 1 in axc 1 &amp; 3 and 7-13 symbols blanked in slot 0 &amp; 0-6 symbols blanked in slot 1  in axc 2 &amp; 4.</t>
  </si>
  <si>
    <t>tc_fft_injection_ul_long_cont_cfg_idx24.sv</t>
  </si>
  <si>
    <t>tcs_10_100_9000_tc1_bfp9_fs_11_sym_blank_cc1_m3</t>
  </si>
  <si>
    <t>Multisection AXC Blanking</t>
  </si>
  <si>
    <t>In this test, we are blanking AXC's 0 and 3 in both the slots for multiple sections. In slot 0, prb's are divided unevenly in each section and in slot 1, the prbs are divided evenly and observe whether FDV is adding zeros for blanked AXCs. We are configuring FS_Offset as 12.</t>
  </si>
  <si>
    <t>tc_multi_sec_axc_blank.sv</t>
  </si>
  <si>
    <t>tcs_16_100_9000_tc3_bfp9_fs_12_axc_blank_cc1_m1</t>
  </si>
  <si>
    <t xml:space="preserve">Multisection Symbol Blanking </t>
  </si>
  <si>
    <t xml:space="preserve">In this test, we are blanking symbols 0,8 and 13 in slot 0 and 2,3,4 and 13 in slot 1 for multiple sections. In slot 0, PRB's are divided unevenly in each section and in slot 1, the PRB's are divided evenly. It is observed whether FDV is adding zeros for blanked symbols. We are configuring FS_Offset as  10. </t>
  </si>
  <si>
    <t>tc_multi_sec_sym_blank.sv</t>
  </si>
  <si>
    <t>tcs_17_100_9000_tc3_bfp9_fs_10_sym_blank_cc1_m2</t>
  </si>
  <si>
    <t>Multisection Symbol Blanking + AXC Blanking</t>
  </si>
  <si>
    <t>In this test, we are blanking AXC's 0 and 2 in each slot  and symbols 0,5,6,9,10,13 in slot 0 and 0,1,6,7,11 in slot 1  for multiple sections and observe whether FDV is adding zeros for blanked Symbols and AXCs section wise.  We are configuring FS_Offset as 10.</t>
  </si>
  <si>
    <t>tc_multi_sec_axc_sym_blank.sv</t>
  </si>
  <si>
    <t>tcs_18_100_9000_tc3_bfp9_fs_14_axc_sym_blank_cc1_m2</t>
  </si>
  <si>
    <t xml:space="preserve">Multisection PRB Blanking </t>
  </si>
  <si>
    <t xml:space="preserve">In this test, we are blanking 0, 92-271 PRBs in slot 0 and 0-90 PRBs in slot 1 for multiple sections and observe whether FDV is adding zeros for blanked PRBs section wise. We are configuring FS_Offset as 10. </t>
  </si>
  <si>
    <t>tc_multi_sec_prb_blanking.sv</t>
  </si>
  <si>
    <t>tcs_19_100_9000_tc3_bfp9_fs_10_prb_blank_cc1_m1</t>
  </si>
  <si>
    <t>SINGLE MODE</t>
  </si>
  <si>
    <t>Constant Data</t>
  </si>
  <si>
    <t>CONTINUOUS MODE</t>
  </si>
  <si>
    <t>SINGLE MODE multiple iterations</t>
  </si>
  <si>
    <t>Compute Time</t>
  </si>
  <si>
    <t>Symbols</t>
  </si>
  <si>
    <t>Testcase_SC1</t>
  </si>
  <si>
    <t>Testcase_CC1</t>
  </si>
  <si>
    <t>Testcase_SMC1</t>
  </si>
  <si>
    <t>Testcase_SC2</t>
  </si>
  <si>
    <t>Testcase_CC2</t>
  </si>
  <si>
    <t>Testcase_SMC2</t>
  </si>
  <si>
    <t>Testcase_SC3</t>
  </si>
  <si>
    <t>Testcase_CC3</t>
  </si>
  <si>
    <t>Testcase_SMC3</t>
  </si>
  <si>
    <t>Testcase_SC4</t>
  </si>
  <si>
    <t>Testcase_CC4</t>
  </si>
  <si>
    <t>Testcase_SMC4</t>
  </si>
  <si>
    <t>Testcase_SC5</t>
  </si>
  <si>
    <t>Testcase_CC5</t>
  </si>
  <si>
    <t>Testcase_SMC5</t>
  </si>
  <si>
    <t>Testcase_SC6</t>
  </si>
  <si>
    <t>Testcase_CC6</t>
  </si>
  <si>
    <t>Testcase_SMC6</t>
  </si>
  <si>
    <t>Testcase_SC7</t>
  </si>
  <si>
    <t>Testcase_CC7</t>
  </si>
  <si>
    <t>Testcase_SMC7</t>
  </si>
  <si>
    <t>Testcase_SC8</t>
  </si>
  <si>
    <t>Testcase_CC8</t>
  </si>
  <si>
    <t>Testcase_SMC8</t>
  </si>
  <si>
    <t>Testcase_SC9</t>
  </si>
  <si>
    <t>Testcase_CC9</t>
  </si>
  <si>
    <t>Testcase_SMC9</t>
  </si>
  <si>
    <t>Random Data</t>
  </si>
  <si>
    <t>Testcase_SR1</t>
  </si>
  <si>
    <t>Testcase_CR1</t>
  </si>
  <si>
    <t>Testcase_SMR1</t>
  </si>
  <si>
    <t>Testcase_SR2</t>
  </si>
  <si>
    <t>Testcase_CR2</t>
  </si>
  <si>
    <t>Testcase_SMR2</t>
  </si>
  <si>
    <t>Testcase_SR3</t>
  </si>
  <si>
    <t>Testcase_CR3</t>
  </si>
  <si>
    <t>Testcase_SMR3</t>
  </si>
  <si>
    <t>Testcase_SR4</t>
  </si>
  <si>
    <t>Testcase_CR4</t>
  </si>
  <si>
    <t>Testcase_SMR4</t>
  </si>
  <si>
    <t>Testcase_SR5</t>
  </si>
  <si>
    <t>Testcase_CR5</t>
  </si>
  <si>
    <t>Testcase_SMR5</t>
  </si>
  <si>
    <t>Testcase_SR6</t>
  </si>
  <si>
    <t>Testcase_CR6</t>
  </si>
  <si>
    <t>Testcase_SMR6</t>
  </si>
  <si>
    <t>Testcase_SR7</t>
  </si>
  <si>
    <t>Testcase_CR7</t>
  </si>
  <si>
    <t>Testcase_SMR7</t>
  </si>
  <si>
    <t>Testcase_SR8</t>
  </si>
  <si>
    <t>Testcase_CR8</t>
  </si>
  <si>
    <t>Testcase_SMR8</t>
  </si>
  <si>
    <t>Testcase_SR9</t>
  </si>
  <si>
    <t>Testcase_CR9</t>
  </si>
  <si>
    <t>Testcase_SMR9</t>
  </si>
  <si>
    <t>Testcase_SR10</t>
  </si>
  <si>
    <t>Testcase_CR10</t>
  </si>
  <si>
    <t>Testcase_SMR10</t>
  </si>
  <si>
    <t>File read (FDV expected)</t>
  </si>
  <si>
    <t>File read (FDV Expected)</t>
  </si>
  <si>
    <t>Testcase_SF1</t>
  </si>
  <si>
    <t>Testcase_CF1</t>
  </si>
  <si>
    <t>Testcase_SF2</t>
  </si>
  <si>
    <t>Testcase_CF2</t>
  </si>
  <si>
    <t>Testcase_SF3</t>
  </si>
  <si>
    <t>Testcase_CF3</t>
  </si>
  <si>
    <t>Testcase_SF4</t>
  </si>
  <si>
    <t>Testcase_CF4</t>
  </si>
  <si>
    <t>Testcase_SF5</t>
  </si>
  <si>
    <t>Testcase_CF5</t>
  </si>
  <si>
    <t>Testcase_SF6</t>
  </si>
  <si>
    <t>Testcase_CF6</t>
  </si>
  <si>
    <t>Testcase_SF7</t>
  </si>
  <si>
    <t>Testcase_CF7</t>
  </si>
  <si>
    <t>Testcase_SF8</t>
  </si>
  <si>
    <t>Testcase_CF8</t>
  </si>
  <si>
    <t>Testcase_SF9</t>
  </si>
  <si>
    <t>Testcase_CF9</t>
  </si>
  <si>
    <t>Testcase_SF10</t>
  </si>
  <si>
    <t>Testcase_CF10</t>
  </si>
  <si>
    <t>Standalone
Full Scale Decompression &amp; Compression</t>
  </si>
  <si>
    <t>In this test, downlink C-plane and U-plane IQ's are injected directly at eCPRI with compparam value depending on IQ data and FS-Offset value set to 0 while generating PCAP.</t>
  </si>
  <si>
    <t>tc_fs_offset_0.sv</t>
  </si>
  <si>
    <t>01_test_100_9000_tc1_bfp9_0</t>
  </si>
  <si>
    <t>In this test, downlink C-plane and U-plane IQ's are injected directly at eCPRI with compparam value depending on IQ data and FS-Offset value set to 1 while generating PCAP.</t>
  </si>
  <si>
    <t>tc_fs_offset_1.sv</t>
  </si>
  <si>
    <t>01_test_100_9000_tc1_bfp9_1</t>
  </si>
  <si>
    <t>In this test, downlink C-plane and U-plane IQ's are injected directly at eCPRI with compparam value depending on IQ data and FS-Offset value set to 2 while generating PCAP.</t>
  </si>
  <si>
    <t>tc_fs_offset_2.sv</t>
  </si>
  <si>
    <t>01_test_100_9000_tc1_bfp9_2</t>
  </si>
  <si>
    <t>In this test, downlink C-plane and U-plane IQ's are injected directly at eCPRI with compparam value depending on IQ data and FS-Offset value set to 3  while generating PCAP.</t>
  </si>
  <si>
    <t>tc_fs_offset_3.sv</t>
  </si>
  <si>
    <t>01_test_100_9000_tc1_bfp9_3</t>
  </si>
  <si>
    <t>In this test, downlink C-plane and U-plane IQ's are injected directly at eCPRI with compparam value depending on IQ data and FS-Offset value set to4 while generating PCAP.</t>
  </si>
  <si>
    <t>tc_fs_offset_4.sv</t>
  </si>
  <si>
    <t>01_test_100_9000_tc1_bfp9_4</t>
  </si>
  <si>
    <t>In this test, downlink C-plane and U-plane IQ's are injected directly at eCPRI with compparam value depending on IQ data and FS-Offset value set to 5 while generating PCAP.</t>
  </si>
  <si>
    <t>tc_fs_offset_5.sv</t>
  </si>
  <si>
    <t>01_test_100_9000_tc1_bfp9_5</t>
  </si>
  <si>
    <t>In this test, downlink C-plane and U-plane IQ's are injected directly at eCPRI with compparam value depending on IQ data and FS-Offset value set to 6 while generating PCAP.</t>
  </si>
  <si>
    <t>tc_fs_offset_6.sv</t>
  </si>
  <si>
    <t>01_test_100_9000_tc1_bfp9_6</t>
  </si>
  <si>
    <t>In this test, downlink C-plane and U-plane IQ's are injected directly at eCPRI with compparam value depending on IQ data and FS-Offset value set to 7 while generating PCAP.</t>
  </si>
  <si>
    <t>tc_fs_offset_7.sv</t>
  </si>
  <si>
    <t>01_test_100_9000_tc1_bfp9_7</t>
  </si>
  <si>
    <t>In this test, downlink C-plane and U-plane IQ's are injected directly at eCPRI with compparam value depending on IQ data and FS-Offset value set to 8 while generating PCAP.</t>
  </si>
  <si>
    <t>tc_fs_offset_8.sv</t>
  </si>
  <si>
    <t>01_test_100_9000_tc1_bfp9_8</t>
  </si>
  <si>
    <t>In this test, downlink C-plane and U-plane IQ's are injected directly at eCPRI with compparam value depending on IQ data and FS-Offset value set to 9 while generating PCAP.</t>
  </si>
  <si>
    <t>tc_fs_offset_9.sv</t>
  </si>
  <si>
    <t>01_test_100_9000_tc1_bfp9_9</t>
  </si>
  <si>
    <t>In this test, downlink C-plane and U-plane IQ's are injected directly at eCPRI with compparam value depending on IQ data and FS-Offset value set to 10 while generating PCAP.</t>
  </si>
  <si>
    <t>tc_fs_offset_10.sv</t>
  </si>
  <si>
    <t>01_test_100_9000_tc1_bfp9_10</t>
  </si>
  <si>
    <t>In this test, downlink C-plane and U-plane IQ's are injected directly at eCPRI with compparam value depending on IQ data and FS-Offset value set to 11 while generating PCAP.</t>
  </si>
  <si>
    <t>tc_fs_offset_11.sv</t>
  </si>
  <si>
    <t>01_test_100_9000_tc1_bfp9_11</t>
  </si>
  <si>
    <t>In this test, downlink C-plane and U-plane IQ's are injected directly at eCPRI with compparam value depending on IQ data and FS-Offset value set to 12 while generating PCAP.</t>
  </si>
  <si>
    <t>tc_fs_offset_12.sv</t>
  </si>
  <si>
    <t>01_test_100_9000_tc1_bfp9_12</t>
  </si>
  <si>
    <t>In this test, downlink C-plane and U-plane IQ's are injected directly at eCPRI with compparam value depending on IQ data and FS-Offset value set to 13 while generating PCAP.</t>
  </si>
  <si>
    <t>tc_fs_offset_13.sv</t>
  </si>
  <si>
    <t>01_test_100_9000_tc1_bfp9_13</t>
  </si>
  <si>
    <t>In this test, downlink C-plane and U-plane IQ's are injected directly at eCPRI with compparam value depending on IQ data and FS-Offset value set to 14 while generating PCAP.</t>
  </si>
  <si>
    <t>tc_fs_offset_14.sv</t>
  </si>
  <si>
    <t>01_test_100_9000_tc1_bfp9_14</t>
  </si>
  <si>
    <t>In this test, downlink C-plane and U-plane IQ's are injected directly at eCPRI with compparam value depending on IQ data and FS-Offset value set to 15 while generating PCAP.</t>
  </si>
  <si>
    <t>tc_fs_offset_15.sv</t>
  </si>
  <si>
    <t>01_test_100_9000_tc1_bfp9_15</t>
  </si>
  <si>
    <t xml:space="preserve">
C-plane Configuration short PRACH </t>
  </si>
  <si>
    <t>In this test case we will test prach short format A7 . C-Plane Packets will be sent in DL and Pattern enabled to start the PRACH.</t>
  </si>
  <si>
    <t>CC/Register Configuration</t>
  </si>
  <si>
    <t>Bandwidth Configuration(MHz)</t>
  </si>
  <si>
    <t>100 or 60</t>
  </si>
  <si>
    <t>Loopback</t>
  </si>
  <si>
    <t>100+100,60+60</t>
  </si>
  <si>
    <t>DFE/IFFT Loopback  with different MTU size(9000,1500).</t>
  </si>
  <si>
    <t>supports all testcases</t>
  </si>
  <si>
    <t>Compresion Method</t>
  </si>
  <si>
    <t>1. No-Compression 
2. BFP 9bit</t>
  </si>
  <si>
    <t>ORAN Capture Header check</t>
  </si>
  <si>
    <t>Transport Header
ORAN-Common Header
ORAN-Section Header
(SYM,SF,RF,SEQ,Filt-Index,Vlan,DIR, Start-PRB, Num-PRB, Section )</t>
  </si>
  <si>
    <t xml:space="preserve">Mixed mode </t>
  </si>
  <si>
    <t>100 + 60 , 60 + 100</t>
  </si>
  <si>
    <t>supported in 2CC BW</t>
  </si>
  <si>
    <t>TC 10 &amp; TC 11</t>
  </si>
  <si>
    <t>Eaxc Configurability Testing</t>
  </si>
  <si>
    <t>Configure DL PDSCH Eaxc-0 to 7  &lt;configured with Random values&gt; 
Configure UL PUSCH Eaxc-0 to 7  &lt;configured with Random values&gt; 
Configure UL PRACH Eaxc-8 to 15 &lt;configured with Random values&gt; 
Refer EAXC Mapping table in "HW Testvectors" sheet for more details</t>
  </si>
  <si>
    <t xml:space="preserve"> configure random ecpri_pcid for both PDSCH,PUSCH and PRACH.</t>
  </si>
  <si>
    <t>Special slot pcap - TDD pattern</t>
  </si>
  <si>
    <t>DDDSUUDDDD (Refer sheet "HW Testvectors" Testcase "9 to 14")</t>
  </si>
  <si>
    <t>Special slot pcap with DDDSUUDDDD pattern</t>
  </si>
  <si>
    <t>Downlink FDD, Uplink TDD</t>
  </si>
  <si>
    <t>For uplink TDD pattern : DDDSUUDDDD  (Refer sheet "HW Testvectors" Testcase "20")</t>
  </si>
  <si>
    <t>Long PRACH Configuration Index</t>
  </si>
  <si>
    <t>27,16,9,14,21,19,24,25,23,22,0</t>
  </si>
  <si>
    <t xml:space="preserve">supported in C-plane and M-plane
Config index 25 sends four consecutive subframes </t>
  </si>
  <si>
    <t>TC 1, TC 18, TC 19, TC 20, TC 21</t>
  </si>
  <si>
    <t>PRACH - Frequence Offset testing</t>
  </si>
  <si>
    <t>RB OFFSET: Random between 0 and 270</t>
  </si>
  <si>
    <t>PRACH - Preamble ID</t>
  </si>
  <si>
    <t>Random: 0-63</t>
  </si>
  <si>
    <t>PRACH - Sequence Number</t>
  </si>
  <si>
    <t>Random: 0-837</t>
  </si>
  <si>
    <t>CC disable (Both CC enabled case)</t>
  </si>
  <si>
    <t>0+100,0+60 /  100+0,60+0</t>
  </si>
  <si>
    <t>can disable CC1 or CC2 to check 1CC BW.</t>
  </si>
  <si>
    <t>Compile time CC-2 Enable/Disable</t>
  </si>
  <si>
    <t>Validate CC-1 and CC-1 , CC-2 Compile time builds</t>
  </si>
  <si>
    <t xml:space="preserve">Uplink Mux Constant  </t>
  </si>
  <si>
    <t>Case 1: Const REAL: &lt; 0.707&gt; IMAG: &lt;-0.707&gt;
Case 2: TBD</t>
  </si>
  <si>
    <t>Downlink Mux Constant injected at IFFT Out</t>
  </si>
  <si>
    <t>Configure mux select reg as 1 and mux constant data reg and  observe at IFFT output whether we are getting the constant data.</t>
  </si>
  <si>
    <t>IFFT-FFT Shift</t>
  </si>
  <si>
    <t>Case1 (Default) ,  IFFT :12   FFT: 0 
Case2 (TBD) ,  IFFT :&lt; &gt;   FFT: &lt; &gt;</t>
  </si>
  <si>
    <t>Window Testing - Default</t>
  </si>
  <si>
    <t xml:space="preserve">Rx/Tx window enable = 1
T2a_max_cp_dl=  &lt;TBD&gt;                 
T2a_min_cp_dl= 150000              
T2a_max_cp_ul= &lt;TBD&gt; 
T2a_min_cp_ul= 150000
T2a_max_up= &lt;TBD&gt; 
T2a_min_up= 80000
Ta3_max_up= &lt;TBD&gt; 
Ta3_min_up= 40000
Ta3_max_up_1p25khz= 1000000
Ta3_min_up_1p25khz=  40000 </t>
  </si>
  <si>
    <t>Enable window and configure timing parameters and check whether the transmitted DL packets are coming out of ORAN ip and keysight is receiving UL packets sent. Check oran counters 
Timing Parameters in ns Configured for generating PCAP
T1a_cp_dl = 255000
T1a_cp_ul = 235000
T1a_up_dl = 105000</t>
  </si>
  <si>
    <t>TC 1</t>
  </si>
  <si>
    <t>Window Testing - Late</t>
  </si>
  <si>
    <t>TBD</t>
  </si>
  <si>
    <t>Window Testing - Early</t>
  </si>
  <si>
    <t>Blanking testing</t>
  </si>
  <si>
    <t>100+100, 60+60
Blanking at 
1. PRB Blanking (dl) -  (Refer sheet "HW Testvectors" Testcase "6")
2. Symbol Level blanking (dl) -(Refer sheet "HW Testvectors" Testcase "19") 
3. SF Level Blanking (dl/ul) - (Refer sheet "HW Testvectors" Testcase "17 &amp; 18")
4. eAxC level blanking (DL/UL) -  (Refer sheet "HW Testvectors" Testcase "12 to 17")</t>
  </si>
  <si>
    <t>PRACH C-plane blanking</t>
  </si>
  <si>
    <t>BW Config : 100+100 
Blanking at 
1. SF Level Blanking - (Refer sheet "HW Testvectors" Testcase "18")
2. eAxC level blanking -  (Refer sheet "HW Testvectors" Testcase "12 to 17")</t>
  </si>
  <si>
    <t>Phase compensation</t>
  </si>
  <si>
    <t>Enable and Disable of Phase COMP
Tested in IFFT-LB</t>
  </si>
  <si>
    <t xml:space="preserve"> enable the phase compensation and will check Phase offset introduced at IFFT is compensated at FFT output.</t>
  </si>
  <si>
    <t>Delay Compensation</t>
  </si>
  <si>
    <t>DUC 2,4,6,8 DDC 8,6,4,2</t>
  </si>
  <si>
    <t>Delays with unique value for separate axc needs to be tested.</t>
  </si>
  <si>
    <t>IFFT/ FFT gain</t>
  </si>
  <si>
    <t>8192(Unity), 32767(12dB Gain) , 512 , 1024 (CC Level)</t>
  </si>
  <si>
    <t>We need to check per cc whether we can gain upto 12db at IFFT output and FFT output. And also check minimum reg value</t>
  </si>
  <si>
    <t>Digital power scaling (Bypassed)</t>
  </si>
  <si>
    <t xml:space="preserve">Digital pwer scaling L1&amp;L2 = 32767, 16384 </t>
  </si>
  <si>
    <t>It will scale down IFFT input based on the register value and  observe scaled down at IFFT output.</t>
  </si>
  <si>
    <t>DFE gain</t>
  </si>
  <si>
    <t xml:space="preserve"> 8192, 16384 (AxC level)</t>
  </si>
  <si>
    <t>Gain for individual antenna can be configured and checked at Summer output.</t>
  </si>
  <si>
    <t>NCO configuration 100MHz</t>
  </si>
  <si>
    <t>Configure DUC NCO1   [&lt;50&gt; &lt;-50&gt; &lt;50&gt; &lt;-50&gt;] NCO2 [&lt;-50&gt; &lt;50&gt; &lt;-50&gt; &lt;50&gt; ]
Configure DDC NCO1  [&lt;-50 &gt;&lt;50&gt; &lt;-50&gt; &lt;50&gt;] NCO2 [&lt;50&gt; &lt;-50&gt; &lt;50&gt; &lt;-50&gt; ]</t>
  </si>
  <si>
    <t xml:space="preserve"> configure both DUC and DDC NCO registers and observe the data at summer out.</t>
  </si>
  <si>
    <t>NCO configuration 60MHz</t>
  </si>
  <si>
    <t>Configure DUC NCO1   [&lt;30&gt; &lt;-30&gt; &lt;30&gt; &lt;-30&gt;] NCO2 [&lt;-30&gt; &lt;30&gt; &lt;-30&gt; &lt;30&gt; ]
Configure DDC NCO1  [&lt;-30 &gt;&lt;30&gt; &lt;-30&gt; &lt;30&gt;] NCO2 [&lt;30&gt; &lt;-30&gt; &lt;30&gt; &lt;-30&gt; ]</t>
  </si>
  <si>
    <t>DC SC enable</t>
  </si>
  <si>
    <t>DC  SC enable/Disable (Tested in IFFT-FFT LPBK)</t>
  </si>
  <si>
    <t xml:space="preserve">  configure dc sc enable register as 1 and observe at IFFT output.</t>
  </si>
  <si>
    <t>Coefficient reload (100MHz/60MHz)</t>
  </si>
  <si>
    <t>1. Load the zero/unity coefficient and observe that the reload is reflected in spectrum 
2. Load the actual Channel Filter coefficient for 100MHz and 60MHz and check the correct functionality 
3. Check coefficient bank select feature by testing both BW configuration example (100 + 60 and 60 + 100) cases</t>
  </si>
  <si>
    <t xml:space="preserve"> configure the DUC and DDC channel filter coefficient and observe the data.</t>
  </si>
  <si>
    <t>Interrupt check reg check</t>
  </si>
  <si>
    <t>160ms C and U Interrupt, FIFO Full Interrupt</t>
  </si>
  <si>
    <t xml:space="preserve">1. Transmit in ORS ODU
2. Configure Radio (DL Start / UL Start) 
3. Stop Transmit in ORS ODU 
Check interrupt is triggered </t>
  </si>
  <si>
    <t>LINK pull down/up testing</t>
  </si>
  <si>
    <t xml:space="preserve">Negetive testing, PTP should recover after link up,CU Plane also recover </t>
  </si>
  <si>
    <t>1. Transmit in ORS ODU
2. Configure Radio (DL Start / UL Start) 
3. Remove the 25G Ethernet Link 
4. Re-connect the 25G Ethernet Link 
PTP and Uplink traffic should recover</t>
  </si>
  <si>
    <t xml:space="preserve">ODU- Pause and Play Testing </t>
  </si>
  <si>
    <t xml:space="preserve">1. Setup the ODU-ORU for normal operation
2. ODU-Stop 
3. ODU-Start 
4. Repeat Step-2 and Step-3 Multiple times 
Thoughput should not drop 
Validate the captures </t>
  </si>
  <si>
    <t>M-plane testing upto 1500 bytes</t>
  </si>
  <si>
    <t>Validate the M-Plane performance using IPERF</t>
  </si>
  <si>
    <t>Packet size (128,256,512,1k,1500) 
Direction (Client , Server) 
Table the maximum throughput achieved for different packet size</t>
  </si>
  <si>
    <t xml:space="preserve">PTP Testing </t>
  </si>
  <si>
    <t>Two step and One step,Topology C1 and C3</t>
  </si>
  <si>
    <t>MTU Size</t>
  </si>
  <si>
    <t>9000, 1500</t>
  </si>
  <si>
    <t xml:space="preserve">Hard Hold-Over testing </t>
  </si>
  <si>
    <r>
      <t>Hard Holdover: Tests to identify what DPLLX status corresponds to presence/absence of SyncE
Renesas DPLL Status Check: 
	Check DPLL0 is locked to SyncE
./spidev_test -D /dev/spidev1.0 -v -s 400000 -p "\x7c\x00\xC0\x10\x20"
./spidev_test -D /dev/spidev1.0 -v -s 400000 -p "\xd4\</t>
    </r>
    <r>
      <rPr>
        <b/>
        <sz val="11"/>
        <color rgb="FFFF0000"/>
        <rFont val="Calibri"/>
        <family val="2"/>
        <scheme val="minor"/>
      </rPr>
      <t>x00</t>
    </r>
    <r>
      <rPr>
        <sz val="11"/>
        <rFont val="Calibri"/>
        <family val="2"/>
        <scheme val="minor"/>
      </rPr>
      <t>\</t>
    </r>
    <r>
      <rPr>
        <b/>
        <sz val="11"/>
        <rFont val="Calibri"/>
        <family val="2"/>
        <scheme val="minor"/>
      </rPr>
      <t>x00</t>
    </r>
    <r>
      <rPr>
        <sz val="11"/>
        <rFont val="Calibri"/>
        <family val="2"/>
        <scheme val="minor"/>
      </rPr>
      <t>\x00\x00\x00\x00\x00\x00\x00\x00"
Bold Red refers to DPLL0.
Bold Black refers to DPLL1.
1. Without QSFP cage plugged - No carrier
               check STATUS.INx_MON_STATUS e.g.:
                              cat /sys/class/spidev/spidev1.0/device/rc38612_reg_dump
2. With QSFP plugged, but cable disconnected - No carrier
3. With QSFP plugged - Link bring down from peer connection (e.g. Keysight OS or Cisco switch)
4. With QSFP plugged - Normal Bring-up Process (we expect FHIP 25GbE up &amp; running)</t>
    </r>
  </si>
  <si>
    <t xml:space="preserve">Soft Hold-Over testing </t>
  </si>
  <si>
    <t>soft holdover Testing</t>
  </si>
  <si>
    <t>Soft Holdover: Identify absence of PTP (Stop T-GM PTP from running)
Soft Holdover Test Scenario:
a. Establish PTP
b. Wait until master offset and frequency both converged to +/-0ns and +/-0ppb respectively
c. Stop PTP from T-GM (Entering Soft Holdover)
d. Wait for 29'30" (whole Soft Holdover duration)
e. Restart T-GM PTP (Exiting Soft Holdover), monitor T-TSC PTP going from S0 --&gt; S2.
Observation :
1. PTP is locked : FSM status is S2 (master offset printouts on screen)
2. PTP is lost: FSM is S0 (local clock printouts on screen)
Check DL/UL captures are working without any drift</t>
  </si>
  <si>
    <t>Coupling</t>
  </si>
  <si>
    <t>1 C-Plane 1-Section for D1-Rel</t>
  </si>
  <si>
    <t>Uplink SYMBOL and PRB Blanking not supported</t>
  </si>
  <si>
    <t>SFN Accuracy check Alpha=0, Beta=0</t>
  </si>
  <si>
    <t>Check the SFN accuracy for multiple reboot</t>
  </si>
  <si>
    <t xml:space="preserve">SFN Accuracy check Alpha=&lt;TBD1,TBD2&gt; , Beta=&lt;TBD1,TBD2&gt; </t>
  </si>
  <si>
    <t xml:space="preserve"> </t>
  </si>
  <si>
    <t xml:space="preserve">Testcase ID </t>
  </si>
  <si>
    <t xml:space="preserve">Compression </t>
  </si>
  <si>
    <t>CC1 BW</t>
  </si>
  <si>
    <t>CC2 BW</t>
  </si>
  <si>
    <t xml:space="preserve">MTU size </t>
  </si>
  <si>
    <t>FS-Offset</t>
  </si>
  <si>
    <t>PRACH</t>
  </si>
  <si>
    <t xml:space="preserve">Eaxc Mapping </t>
  </si>
  <si>
    <t>1CC/2CC</t>
  </si>
  <si>
    <t>FDD/TDD</t>
  </si>
  <si>
    <t xml:space="preserve">Coupling
 Usecase </t>
  </si>
  <si>
    <t xml:space="preserve"> Blanking</t>
  </si>
  <si>
    <t>prach subframe</t>
  </si>
  <si>
    <t>tcs_01</t>
  </si>
  <si>
    <t>9-Bit BFP</t>
  </si>
  <si>
    <t>CFG_Index =27
Freq_offset =0
PID =23
Seq_Num =53</t>
  </si>
  <si>
    <t>Mapping 1</t>
  </si>
  <si>
    <t>2CC</t>
  </si>
  <si>
    <t>FDD</t>
  </si>
  <si>
    <t xml:space="preserve">Usecase 1 </t>
  </si>
  <si>
    <t>1,3,5,7,9</t>
  </si>
  <si>
    <t>tcs_02</t>
  </si>
  <si>
    <t>tcs_03</t>
  </si>
  <si>
    <t>Usecase 1</t>
  </si>
  <si>
    <t>tcs_04</t>
  </si>
  <si>
    <t>EAXC Mapping table</t>
  </si>
  <si>
    <t>tcs_05</t>
  </si>
  <si>
    <t>no compression</t>
  </si>
  <si>
    <t xml:space="preserve">DL CC1 Flow ID's </t>
  </si>
  <si>
    <t>DL CC2 Flow ID's</t>
  </si>
  <si>
    <t>tcs_06</t>
  </si>
  <si>
    <t>1 axc blank</t>
  </si>
  <si>
    <t xml:space="preserve">Mapping 1 </t>
  </si>
  <si>
    <t>0;2;4;6</t>
  </si>
  <si>
    <t>1;3;5;7</t>
  </si>
  <si>
    <t>tcs_07</t>
  </si>
  <si>
    <t>NA</t>
  </si>
  <si>
    <t>1CC</t>
  </si>
  <si>
    <t>Blank first and last 91 prb's in both DL and UL
slot</t>
  </si>
  <si>
    <t>Mapping 2</t>
  </si>
  <si>
    <t>0;1;2;3</t>
  </si>
  <si>
    <t>4;5;6;7</t>
  </si>
  <si>
    <t>tcs_08</t>
  </si>
  <si>
    <t>prb blanking ul and dl</t>
  </si>
  <si>
    <t>Mapping 3</t>
  </si>
  <si>
    <t>4100;4708;9543;1380</t>
  </si>
  <si>
    <t>4440;4633;13433;9778</t>
  </si>
  <si>
    <t>tcs_09</t>
  </si>
  <si>
    <t>eaxc id</t>
  </si>
  <si>
    <t xml:space="preserve">same way UL and PRACH Flow ID's are mapped </t>
  </si>
  <si>
    <t>tcs_10</t>
  </si>
  <si>
    <t>CFG_Index = 24
Freq_offset = 34
PID = 1
Seq_Num = 2</t>
  </si>
  <si>
    <t>In DL, 0- 6 symbols blanked in slot 0 &amp; 7-13 symbols blanked in slot 1 in axc 1 &amp; 3
In DL, 7 -13 symbols blanked in slot 0 &amp; 0-6 symbols blanked in slot 1  in axc 2 &amp; 4</t>
  </si>
  <si>
    <t>3,4,8,9</t>
  </si>
  <si>
    <t>tcs_11</t>
  </si>
  <si>
    <t>CFG_Index =21
Freq_offset =148
PID =12
Seq_Num =837</t>
  </si>
  <si>
    <t>4,8,9</t>
  </si>
  <si>
    <t>tcs_12</t>
  </si>
  <si>
    <r>
      <t xml:space="preserve"> 4,5,6,10  symbols balnked in DL and UL
</t>
    </r>
    <r>
      <rPr>
        <sz val="11"/>
        <color rgb="FFC00000"/>
        <rFont val="Calibri"/>
        <family val="2"/>
        <scheme val="minor"/>
      </rPr>
      <t>slot boundary</t>
    </r>
  </si>
  <si>
    <t>tcs_13</t>
  </si>
  <si>
    <t>CFG_Index =16
Freq_offset =0
PID =23
Seq_Num =53</t>
  </si>
  <si>
    <r>
      <t xml:space="preserve">axc 1 and 4 blanked  &amp; 4,5,6,10  symbols blanked in DL and UL
</t>
    </r>
    <r>
      <rPr>
        <sz val="11"/>
        <color rgb="FFC00000"/>
        <rFont val="Calibri"/>
        <family val="2"/>
        <scheme val="minor"/>
      </rPr>
      <t>slot boundary</t>
    </r>
  </si>
  <si>
    <t>1,6</t>
  </si>
  <si>
    <t>tcs_14</t>
  </si>
  <si>
    <t>CFG_Index =167
Freq_offset =0
PID =23
Seq_Num =53</t>
  </si>
  <si>
    <r>
      <t xml:space="preserve">No
</t>
    </r>
    <r>
      <rPr>
        <sz val="11"/>
        <color rgb="FFC00000"/>
        <rFont val="Calibri"/>
        <family val="2"/>
        <scheme val="minor"/>
      </rPr>
      <t xml:space="preserve">slot boundary
</t>
    </r>
    <r>
      <rPr>
        <sz val="11"/>
        <color rgb="FF7030A0"/>
        <rFont val="Calibri"/>
        <family val="2"/>
        <scheme val="minor"/>
      </rPr>
      <t xml:space="preserve">
</t>
    </r>
    <r>
      <rPr>
        <sz val="11"/>
        <color rgb="FFFF0000"/>
        <rFont val="Calibri"/>
        <family val="2"/>
        <scheme val="minor"/>
      </rPr>
      <t>short PRACH</t>
    </r>
  </si>
  <si>
    <t>0,1,2,3,4,5,6,7,8,9</t>
  </si>
  <si>
    <t>tcs_15</t>
  </si>
  <si>
    <r>
      <rPr>
        <sz val="11"/>
        <color rgb="FFC00000"/>
        <rFont val="Calibri"/>
        <family val="2"/>
        <scheme val="minor"/>
      </rPr>
      <t xml:space="preserve">  </t>
    </r>
    <r>
      <rPr>
        <sz val="12"/>
        <color rgb="FFFF0000"/>
        <rFont val="Calibri"/>
        <family val="2"/>
        <scheme val="minor"/>
      </rPr>
      <t xml:space="preserve"> multisection -       DL &amp; UL</t>
    </r>
    <r>
      <rPr>
        <sz val="11"/>
        <color theme="1"/>
        <rFont val="Calibri"/>
        <family val="2"/>
        <scheme val="minor"/>
      </rPr>
      <t xml:space="preserve">
CFG_Index =27
Freq_offset =0
PID =23
Seq_Num =53</t>
    </r>
  </si>
  <si>
    <t xml:space="preserve">Usecase 3 </t>
  </si>
  <si>
    <r>
      <rPr>
        <b/>
        <sz val="11"/>
        <color theme="1"/>
        <rFont val="Calibri"/>
        <family val="2"/>
        <scheme val="minor"/>
      </rPr>
      <t>Multisection</t>
    </r>
    <r>
      <rPr>
        <sz val="11"/>
        <color theme="1"/>
        <rFont val="Calibri"/>
        <family val="2"/>
        <scheme val="minor"/>
      </rPr>
      <t xml:space="preserve">
symbols = 0 to 13
even slot -  1,91,180,1 prb divided unevenly
odd slot - prb divided evenly as 91
</t>
    </r>
  </si>
  <si>
    <t>tcs_16</t>
  </si>
  <si>
    <r>
      <rPr>
        <b/>
        <sz val="11"/>
        <color theme="1"/>
        <rFont val="Calibri"/>
        <family val="2"/>
        <scheme val="minor"/>
      </rPr>
      <t xml:space="preserve">Multisection with axc blanking </t>
    </r>
    <r>
      <rPr>
        <sz val="11"/>
        <color theme="1"/>
        <rFont val="Calibri"/>
        <family val="2"/>
        <scheme val="minor"/>
      </rPr>
      <t xml:space="preserve">
symbols = 0 to 13
even slot -  1,91,180,1 prb divided unevenly
odd slot - prb divided evenly as 91
axc - 0 and 3 th axc blanked
</t>
    </r>
  </si>
  <si>
    <t>tcs_17</t>
  </si>
  <si>
    <r>
      <rPr>
        <sz val="11"/>
        <color rgb="FFC00000"/>
        <rFont val="Calibri"/>
        <family val="2"/>
        <scheme val="minor"/>
      </rPr>
      <t xml:space="preserve">  </t>
    </r>
    <r>
      <rPr>
        <sz val="12"/>
        <color rgb="FFFF0000"/>
        <rFont val="Calibri"/>
        <family val="2"/>
        <scheme val="minor"/>
      </rPr>
      <t xml:space="preserve"> multisection -       DL &amp; UL</t>
    </r>
    <r>
      <rPr>
        <sz val="11"/>
        <color theme="1"/>
        <rFont val="Calibri"/>
        <family val="2"/>
        <scheme val="minor"/>
      </rPr>
      <t xml:space="preserve">
CFG_Index =21
Freq_offset 49
PID =24
Seq_Num =54</t>
    </r>
  </si>
  <si>
    <r>
      <rPr>
        <b/>
        <sz val="11"/>
        <color theme="1"/>
        <rFont val="Calibri"/>
        <family val="2"/>
        <scheme val="minor"/>
      </rPr>
      <t xml:space="preserve">Multisection with symbol blanking 
</t>
    </r>
    <r>
      <rPr>
        <sz val="11"/>
        <color theme="1"/>
        <rFont val="Calibri"/>
        <family val="2"/>
        <scheme val="minor"/>
      </rPr>
      <t xml:space="preserve">symbol 0,8,13 blanked in even slot -prb divided unevenly
symbol 2,3,4,13 blanked in odd slot - prb divided evenly
</t>
    </r>
  </si>
  <si>
    <t>tcs_18</t>
  </si>
  <si>
    <r>
      <rPr>
        <sz val="11"/>
        <color rgb="FFC00000"/>
        <rFont val="Calibri"/>
        <family val="2"/>
        <scheme val="minor"/>
      </rPr>
      <t xml:space="preserve">  </t>
    </r>
    <r>
      <rPr>
        <sz val="12"/>
        <color rgb="FFFF0000"/>
        <rFont val="Calibri"/>
        <family val="2"/>
        <scheme val="minor"/>
      </rPr>
      <t xml:space="preserve"> multisection -             DL &amp; UL</t>
    </r>
    <r>
      <rPr>
        <sz val="11"/>
        <color theme="1"/>
        <rFont val="Calibri"/>
        <family val="2"/>
        <scheme val="minor"/>
      </rPr>
      <t xml:space="preserve">
CFG_Index =9
Freq_offset =89
PID =20
Seq_Num =54</t>
    </r>
  </si>
  <si>
    <r>
      <rPr>
        <b/>
        <sz val="11"/>
        <color theme="1"/>
        <rFont val="Calibri"/>
        <family val="2"/>
        <scheme val="minor"/>
      </rPr>
      <t>multisection+axc blank+symbol blank</t>
    </r>
    <r>
      <rPr>
        <sz val="11"/>
        <color theme="1"/>
        <rFont val="Calibri"/>
        <family val="2"/>
        <scheme val="minor"/>
      </rPr>
      <t xml:space="preserve">
0  and  2 eaxc blanked symbol 0,5,6,9,10,13 blanked in even slot -prb divided unevenly
symbol 0,1,6,7,11 blanked in odd slot - prb divided evenly &amp; unevenly
</t>
    </r>
  </si>
  <si>
    <t>tcs_19</t>
  </si>
  <si>
    <r>
      <rPr>
        <b/>
        <sz val="11"/>
        <color theme="1"/>
        <rFont val="Calibri"/>
        <family val="2"/>
        <scheme val="minor"/>
      </rPr>
      <t xml:space="preserve">Multisection- prb blanking
</t>
    </r>
    <r>
      <rPr>
        <sz val="11"/>
        <color theme="1"/>
        <rFont val="Calibri"/>
        <family val="2"/>
        <scheme val="minor"/>
      </rPr>
      <t xml:space="preserve">
PRB blanking -  0-0,92-271 even slot
0-90 -odd slot
</t>
    </r>
  </si>
  <si>
    <t>tcs_20</t>
  </si>
  <si>
    <r>
      <rPr>
        <b/>
        <sz val="11"/>
        <color theme="1"/>
        <rFont val="Calibri"/>
        <family val="2"/>
        <scheme val="minor"/>
      </rPr>
      <t>multisection+axc blank+symbol blank+prb blank</t>
    </r>
    <r>
      <rPr>
        <sz val="11"/>
        <color theme="1"/>
        <rFont val="Calibri"/>
        <family val="2"/>
        <scheme val="minor"/>
      </rPr>
      <t xml:space="preserve">
1  and  3 eaxc blanked
symbol 0,8,13 blanked in even slot with prb blanked in sym 1:7 -0-95 prb, sym 9:12 -0:128 prb
symbol 2,3,4,13 blanked in odd slot - sym 0:1 - 223-273 prb,5:12 - 0:90,5:12 -182-272 prb blanked
</t>
    </r>
  </si>
  <si>
    <t>tcs_21</t>
  </si>
  <si>
    <r>
      <rPr>
        <sz val="11"/>
        <color rgb="FFFF0000"/>
        <rFont val="Calibri"/>
        <family val="2"/>
        <scheme val="minor"/>
      </rPr>
      <t xml:space="preserve">           B4</t>
    </r>
    <r>
      <rPr>
        <sz val="11"/>
        <color theme="1"/>
        <rFont val="Calibri"/>
        <family val="2"/>
        <scheme val="minor"/>
      </rPr>
      <t xml:space="preserve">
CFG_Index =167
Freq_offset =0
PID =23
Seq_Num =53</t>
    </r>
  </si>
  <si>
    <r>
      <t xml:space="preserve">No
</t>
    </r>
    <r>
      <rPr>
        <sz val="11"/>
        <color rgb="FFFF0000"/>
        <rFont val="Calibri"/>
        <family val="2"/>
        <scheme val="minor"/>
      </rPr>
      <t xml:space="preserve">
Short PRACH</t>
    </r>
  </si>
  <si>
    <t>tcs_22</t>
  </si>
  <si>
    <r>
      <t xml:space="preserve">          </t>
    </r>
    <r>
      <rPr>
        <sz val="11"/>
        <color rgb="FFFF0000"/>
        <rFont val="Calibri"/>
        <family val="2"/>
        <scheme val="minor"/>
      </rPr>
      <t xml:space="preserve">     C2</t>
    </r>
    <r>
      <rPr>
        <sz val="11"/>
        <rFont val="Calibri"/>
        <family val="2"/>
        <scheme val="minor"/>
      </rPr>
      <t xml:space="preserve">
CFG_Index = 209
Freq_offset = 193
PID = 29
Seq_Num = 98</t>
    </r>
  </si>
  <si>
    <t>Blank 1st axc for DL,UL &amp; PRACH</t>
  </si>
  <si>
    <t>tcs_23</t>
  </si>
  <si>
    <r>
      <rPr>
        <sz val="11"/>
        <color rgb="FFFF0000"/>
        <rFont val="Calibri"/>
        <family val="2"/>
        <scheme val="minor"/>
      </rPr>
      <t xml:space="preserve">           A2/B2</t>
    </r>
    <r>
      <rPr>
        <sz val="11"/>
        <color theme="1"/>
        <rFont val="Calibri"/>
        <family val="2"/>
        <scheme val="minor"/>
      </rPr>
      <t xml:space="preserve">
CFG_Index =240
Freq_offset =0
PID =23
Seq_Num =53</t>
    </r>
  </si>
  <si>
    <t>No</t>
  </si>
  <si>
    <t>tcs_24</t>
  </si>
  <si>
    <t>CFG_Index = 27
Freq_offset = 10
PID = 34
Seq_Num = 21</t>
  </si>
  <si>
    <r>
      <rPr>
        <b/>
        <sz val="11"/>
        <color rgb="FF000000"/>
        <rFont val="Calibri"/>
        <family val="2"/>
        <scheme val="minor"/>
      </rPr>
      <t xml:space="preserve">multisection pcap in UL
</t>
    </r>
    <r>
      <rPr>
        <sz val="11"/>
        <color rgb="FF000000"/>
        <rFont val="Calibri"/>
        <family val="2"/>
        <scheme val="minor"/>
      </rPr>
      <t xml:space="preserve">even subframe - splitted unevenly
odd subframe - splitted evenly
slot
</t>
    </r>
  </si>
  <si>
    <t>tcs_25</t>
  </si>
  <si>
    <t>Blank last 91 prb's for slot 0 symbols 
odd subframes</t>
  </si>
  <si>
    <t>tcs_26</t>
  </si>
  <si>
    <t>tcs_27</t>
  </si>
  <si>
    <t>CFG_Index =86
Freq_offset =0
PID =23
Seq_Num =53</t>
  </si>
  <si>
    <t>tcs_28</t>
  </si>
  <si>
    <t>CFG_Index =168
Freq_offset =0
PID =23
Seq_Num =53</t>
  </si>
  <si>
    <t>IFFT/ FFT gain/PRACH gain</t>
  </si>
  <si>
    <t>DDC MUX constant</t>
  </si>
  <si>
    <t>IFFT MUX constant</t>
  </si>
  <si>
    <t xml:space="preserve"> PTP should recover after link up,CU Plane also recover </t>
  </si>
  <si>
    <t>SFN Accuracy check with non zero -Alpha , Beta values</t>
  </si>
  <si>
    <t>Check the SFN accuracy</t>
  </si>
  <si>
    <r>
      <rPr>
        <b/>
        <sz val="11"/>
        <color theme="1"/>
        <rFont val="Calibri"/>
        <family val="2"/>
        <scheme val="minor"/>
      </rPr>
      <t>Two step and One step,</t>
    </r>
    <r>
      <rPr>
        <sz val="11"/>
        <color theme="1"/>
        <rFont val="Calibri"/>
        <family val="2"/>
        <scheme val="minor"/>
      </rPr>
      <t>Topology C1 and C3</t>
    </r>
  </si>
  <si>
    <t>27,16,9,14,21,19,24,25,23,22,0,256</t>
  </si>
  <si>
    <t xml:space="preserve">coupling </t>
  </si>
  <si>
    <t xml:space="preserve">single section / multisection </t>
  </si>
  <si>
    <t>DFE Loopback /IFFT-FFT Loopback</t>
  </si>
  <si>
    <t>Power Meter</t>
  </si>
  <si>
    <t>Testcase 1</t>
  </si>
  <si>
    <t>Testcase 2</t>
  </si>
  <si>
    <t>Testcase 3</t>
  </si>
  <si>
    <t>CFG_Index = 24
Freq_offset = 24
PID = 56
Seq_Num = 145</t>
  </si>
  <si>
    <t>Testcase 4</t>
  </si>
  <si>
    <t>No Compression</t>
  </si>
  <si>
    <t>CFG_Index = 0
Freq_offset = 52
PID = 48
Seq_Num = 562</t>
  </si>
  <si>
    <t>Testcase 5</t>
  </si>
  <si>
    <t>CFG_Index = 16 
Freq_offset = 100
PID = 63
Seq_Num = 289</t>
  </si>
  <si>
    <t>Testcase 6</t>
  </si>
  <si>
    <t>CFG_Index = 25
Freq_offset = 123
PID = 5
Seq_Num = 564</t>
  </si>
  <si>
    <t>Blank first 62 prb's for slot 1 symbols even subframes for CC1 axcs
Blank middle 91 prb's for slot 0 symbols odd subframes for CC2 axcs</t>
  </si>
  <si>
    <t>6,7,8,9</t>
  </si>
  <si>
    <t>Testcase 7</t>
  </si>
  <si>
    <t>CFG_Index = 21
Freq_offset = 148
PID = 12
Seq_Num = 837</t>
  </si>
  <si>
    <t>Testcase 8</t>
  </si>
  <si>
    <t>CFG_Index = 23
Freq_offset = 45
PID = 19
Seq_Num = 765</t>
  </si>
  <si>
    <t>7,8,9</t>
  </si>
  <si>
    <t>Testcase 9</t>
  </si>
  <si>
    <t>CFG_Index = 9
Freq_offset = 234
PID = 2
Seq_Num = 681</t>
  </si>
  <si>
    <t>TDD</t>
  </si>
  <si>
    <t>Testcase 10</t>
  </si>
  <si>
    <t>CFG_Index = 14
Freq_offset = 202
PID = 43
Seq_Num = 0</t>
  </si>
  <si>
    <t>Testcase 11</t>
  </si>
  <si>
    <t>CFG_Index = 19
Freq_offset = 108
PID = 9
Seq_Num = 777</t>
  </si>
  <si>
    <t>2,7</t>
  </si>
  <si>
    <t>Testcase 12</t>
  </si>
  <si>
    <t>CFG_Index = 9
Freq_offset = 193
PID = 29
Seq_Num = 150</t>
  </si>
  <si>
    <t>Testcase 13</t>
  </si>
  <si>
    <t>CFG_Index = 14
Freq_offset = 67
PID = 16
Seq_Num = 275</t>
  </si>
  <si>
    <t>Blank 1 &amp; 4 axc in CC1 
Blank 2 &amp; 3 axc in CC2
 for DL,UL &amp; PRACH</t>
  </si>
  <si>
    <t>Testcase 14</t>
  </si>
  <si>
    <t>CFG_Index = 19
Freq_offset = 259
PID = 38
Seq_Num = 111</t>
  </si>
  <si>
    <t>Blank 1&amp; 3 axc in CC1
Blank 2 &amp; 4 axc in CC2
 for DL,UL &amp; PRACH</t>
  </si>
  <si>
    <t>Testcase 15</t>
  </si>
  <si>
    <t>CFG_Index = 22
Freq_offset = 270
PID = 19
Seq_Num = 35</t>
  </si>
  <si>
    <t>Blank 1,2 &amp; 3 axc in CC1
Blank axc 4 in CC2
 for DL,UL &amp; PRACH</t>
  </si>
  <si>
    <t>3,4,9</t>
  </si>
  <si>
    <t>Testcase 16</t>
  </si>
  <si>
    <t>CFG_Index = 23
Freq_offset = 213
PID = 58
Seq_Num = 3</t>
  </si>
  <si>
    <t>Blank 1 axc in CC1 
Blank 1 , 3 and 4 axc in CC2
 for DL,UL &amp; PRACH</t>
  </si>
  <si>
    <t>Testcase 17</t>
  </si>
  <si>
    <t>CFG_Index = 27
Freq_offset = 79
PID = 41
Seq_Num = 712</t>
  </si>
  <si>
    <t xml:space="preserve">Blank subframe 0,2,4,6,8 in UL </t>
  </si>
  <si>
    <t>Testcase 18</t>
  </si>
  <si>
    <t>CFG_Index = 27
Freq_offset = 90
PID = 27
Seq_Num = 456</t>
  </si>
  <si>
    <t xml:space="preserve">Blank subframe 1,5,9 in UL &amp; PRACH  </t>
  </si>
  <si>
    <t>3,7</t>
  </si>
  <si>
    <t>Testcase 19</t>
  </si>
  <si>
    <t>Testcase 20</t>
  </si>
  <si>
    <t>CFG_Index = 25
Freq_offset = 8
PID = 61
Seq_Num = 732</t>
  </si>
  <si>
    <t>DL-FDD
UL-TDD</t>
  </si>
  <si>
    <t>6,7,8,,9</t>
  </si>
  <si>
    <t>Testcase 21</t>
  </si>
  <si>
    <t>CFG_Index = 256
Freq_offset = 270
PID = 61
Seq_Num = 732
Prach gain = 1.5</t>
  </si>
  <si>
    <t xml:space="preserve">  Testcase 22</t>
  </si>
  <si>
    <t>CFG_Index = 262
Freq_offset = 270
PID = 61
Seq_Num = 732
Prach gain = 0.5</t>
  </si>
  <si>
    <t xml:space="preserve">  Testcase 23</t>
  </si>
  <si>
    <t>Blank first 62 prb's for slot 1 symbols
 even subframes</t>
  </si>
  <si>
    <t xml:space="preserve">  Testcase 24</t>
  </si>
  <si>
    <t>TDD mode Pattern per slot: DDDSUUDDDD</t>
  </si>
  <si>
    <t>s.no</t>
  </si>
  <si>
    <t>vivek build  sys_19</t>
  </si>
  <si>
    <t>1B_1CC</t>
  </si>
  <si>
    <t>1B_2CC</t>
  </si>
  <si>
    <t>1C_1CC</t>
  </si>
  <si>
    <t>VSA - fine
matlab - fine</t>
  </si>
  <si>
    <t>fine but EVM  is high 
in matlab capture.
Soft reset not worked</t>
  </si>
  <si>
    <r>
      <rPr>
        <sz val="11"/>
        <color rgb="FFFF0000"/>
        <rFont val="Calibri"/>
        <family val="2"/>
        <scheme val="minor"/>
      </rPr>
      <t>VSA - fine</t>
    </r>
    <r>
      <rPr>
        <sz val="11"/>
        <color rgb="FF006100"/>
        <rFont val="Calibri"/>
        <family val="2"/>
        <scheme val="minor"/>
      </rPr>
      <t xml:space="preserve">
matlab - fine</t>
    </r>
  </si>
  <si>
    <t>VSA - fine
FINE - inc EVM(mat)</t>
  </si>
  <si>
    <t>Blank middle 91 prb's for slot 0 symbols 
odd subframes</t>
  </si>
  <si>
    <t>VSA- fine
matlab - fine</t>
  </si>
  <si>
    <t>Testcase no</t>
  </si>
  <si>
    <t xml:space="preserve"> DFE loopback (100 + 100, 60 + 60)</t>
  </si>
  <si>
    <t xml:space="preserve">Same bandwidth for both the CC in all coupling usecases (1,2,3 and 4) with different MTU size(9000,1500). </t>
  </si>
  <si>
    <t>Testcase 1, Testcase 6</t>
  </si>
  <si>
    <t xml:space="preserve"> DFE loopback (100 + 60, 60 + 100)</t>
  </si>
  <si>
    <t>Mixed bandwidth testing in usecase 1.</t>
  </si>
  <si>
    <t>Testcase 10,Testcase 11</t>
  </si>
  <si>
    <t>IFFT FFT loopback (100 + 100, 60 + 60)</t>
  </si>
  <si>
    <t xml:space="preserve">Same bandwidth for both the CC inall coupling usecases (1,2,3 and 4) with different MTU size(9000,1500). </t>
  </si>
  <si>
    <t>IFFT FFT loopback (100 + 60, 60 + 100)</t>
  </si>
  <si>
    <t>PRACH Long Format - Cplane</t>
  </si>
  <si>
    <r>
      <t>Testing PRACH  Long Format - 0 for one config index in all DFE loopback case. First we will test this with</t>
    </r>
    <r>
      <rPr>
        <sz val="11"/>
        <color rgb="FFFF0000"/>
        <rFont val="Calibri"/>
        <family val="2"/>
        <scheme val="minor"/>
      </rPr>
      <t xml:space="preserve"> M-plane</t>
    </r>
    <r>
      <rPr>
        <sz val="11"/>
        <color theme="1"/>
        <rFont val="Calibri"/>
        <family val="2"/>
        <scheme val="minor"/>
      </rPr>
      <t xml:space="preserve"> afterwards we will test it with C-plane (27,16,9,14,21)</t>
    </r>
  </si>
  <si>
    <t>except Testcase 27</t>
  </si>
  <si>
    <t>PRACH Long Format - Mplane</t>
  </si>
  <si>
    <t>CC1 disable (0 + 100) , (0 + 60)</t>
  </si>
  <si>
    <t>We will disable first CC and configure 100 or 60 MHz bandwidth for Second CC in this testing with any one usecase.</t>
  </si>
  <si>
    <t>CC2 disable (100 + 0) , (60 + 0)</t>
  </si>
  <si>
    <t>We will disable Second CC and configure 100 or 60 MHz bandwidth for first CC in this testing with any one usecase.</t>
  </si>
  <si>
    <t>1 CC testing</t>
  </si>
  <si>
    <t>Eaxc Configurability in Mixed BW with FS=15</t>
  </si>
  <si>
    <t>We will configure random ecpri_pcid for both PDSCH,PUSCH and PRACH.</t>
  </si>
  <si>
    <t>Window testing</t>
  </si>
  <si>
    <t xml:space="preserve">We will enable window and configure timing parameters and check whether the transmitted DL packets are coming out of ORAN ip and keysight is receiving UL packets sent. Check oran counters </t>
  </si>
  <si>
    <t>We will enable the phase compensation and will check Phase offset introduced at IFFT is compensated at FFT output.</t>
  </si>
  <si>
    <t>IFFT and FFT gain</t>
  </si>
  <si>
    <t>Digital power scaling</t>
  </si>
  <si>
    <t>It will scale down IFFT input based on the register value and we will observe scaled down at IFFT output.</t>
  </si>
  <si>
    <t xml:space="preserve">IFFT Mux  constant </t>
  </si>
  <si>
    <t>We will configure mux select reg as 1 and mux constant data reg and we will observe at IFFT output whether we are getting the constant data.</t>
  </si>
  <si>
    <t>DDC Mux constant</t>
  </si>
  <si>
    <t xml:space="preserve">NCO configuration </t>
  </si>
  <si>
    <t>We will configure both DUC and DDC NCO registers and observe the data at summer out.</t>
  </si>
  <si>
    <t>Coefficient reload</t>
  </si>
  <si>
    <t>We will configure the DUC and DDC channel filter coefficient and observe the data.</t>
  </si>
  <si>
    <t>We will  configure dc sc enable register as 1 and observe at IFFT output.</t>
  </si>
  <si>
    <t xml:space="preserve">PRB Blanking </t>
  </si>
  <si>
    <t>We will blank the some PRBS at Downlink and transmit the data. We will test this for some coupling usecases (1 and 3).</t>
  </si>
  <si>
    <t>Testcase 12 and 13</t>
  </si>
  <si>
    <t>DL symbol level blanking</t>
  </si>
  <si>
    <t>Eaxc Blanking (100 + 100),(60+60)</t>
  </si>
  <si>
    <t>Blank 1 axc in PDSCH,PUSCH and PRACH</t>
  </si>
  <si>
    <t xml:space="preserve">Eaxc Blanking with CC disable </t>
  </si>
  <si>
    <t>Blank 1 axc of CC1 in PDSCH PUSCH and PRACH and disable CC2</t>
  </si>
  <si>
    <t>Eaxc Blanking with PRB blanking in DL</t>
  </si>
  <si>
    <t xml:space="preserve">Blank 2 or 3 random axc on PUSCH and PRACH </t>
  </si>
  <si>
    <t>Blank all axc in PRACH</t>
  </si>
  <si>
    <t>Eaxc Blanking (100 + 100)</t>
  </si>
  <si>
    <t>Enable one AxC and blank others</t>
  </si>
  <si>
    <t>EAXC blanking with EAXC _ID testcase</t>
  </si>
  <si>
    <t>Blank random 2 axc of PUSCH and one PRACH in eaxc testcase</t>
  </si>
  <si>
    <t>Capture API</t>
  </si>
  <si>
    <t>We will configure information such as BW,Lpbk , capture point,axc, Sfn,Symbol in the terminal(Board) to get captured data instead of checking it in matlab.</t>
  </si>
  <si>
    <t>Specific subframe pcap</t>
  </si>
  <si>
    <t>Specific subframes will be present in the pcap(enabled only subframe 2 and 7)</t>
  </si>
  <si>
    <t>Testcase 23</t>
  </si>
  <si>
    <t>Testcase 26,27,28</t>
  </si>
  <si>
    <t>FIFO intr reg check</t>
  </si>
  <si>
    <t>Mask intr of c and u intr, unmask fifo intr and check status</t>
  </si>
  <si>
    <t>Both C1/C3 topology test</t>
  </si>
  <si>
    <t xml:space="preserve">PRACH input from ddc </t>
  </si>
  <si>
    <t>valid mapping ranges in dtsi</t>
  </si>
  <si>
    <t>EVM calculation update in reference</t>
  </si>
  <si>
    <t>SI.NO</t>
  </si>
  <si>
    <t>TESTCASE NAME</t>
  </si>
  <si>
    <t>USECASE</t>
  </si>
  <si>
    <t>BANDWIDTH</t>
  </si>
  <si>
    <t>MTU</t>
  </si>
  <si>
    <t>COMPRESSION TYPE</t>
  </si>
  <si>
    <t>CONFIG INDEX</t>
  </si>
  <si>
    <t>FREQ OFFSET</t>
  </si>
  <si>
    <t>REMARKS</t>
  </si>
  <si>
    <t>100MHz</t>
  </si>
  <si>
    <t>bfp9</t>
  </si>
  <si>
    <t>02_test_100_9000_tc1_fs_0</t>
  </si>
  <si>
    <t>03_test_100_1500_tc1_bfp9_fs_8</t>
  </si>
  <si>
    <t>04_test_100_1500_tc1_fs_0</t>
  </si>
  <si>
    <t>05_test_100_9000_tc1_bfp9_eaxc_fs_9</t>
  </si>
  <si>
    <t>eAxc configuration</t>
  </si>
  <si>
    <t>60MHz</t>
  </si>
  <si>
    <t>07_test_60_9000_tc1_fs_0</t>
  </si>
  <si>
    <t>08_test_60_1500_tc1_bfp9_fs_0</t>
  </si>
  <si>
    <t>09_test_60_1500_tc1_fs_0</t>
  </si>
  <si>
    <t>10_test_100_60_9000_tc1_bfp9_fs_3</t>
  </si>
  <si>
    <t>100MHz,60MHz</t>
  </si>
  <si>
    <t>11_test_60_100_9000_tc1_bfp9_fs_15</t>
  </si>
  <si>
    <t>60MHz,100MHz</t>
  </si>
  <si>
    <t>12_test_100_9000_tc1_bfp9_prb_blank_fs_5</t>
  </si>
  <si>
    <t>13_test_60_9000_tc1_bfp9_prb_blank_fs_11</t>
  </si>
  <si>
    <t>14_test_100_9000_tc1_bfp9_blank_1_axc_fs_4</t>
  </si>
  <si>
    <t>eaxc blanking-1st eaxc blanked</t>
  </si>
  <si>
    <t>15_test_100_9000_tc1_bfp9_eaxc_blank_3_axc_fs_7</t>
  </si>
  <si>
    <t>eaxc blanking-1,4,8 eaxc_id</t>
  </si>
  <si>
    <t>16_test_100_9000_tc1_bfp9_blank_all_prach_fs_6</t>
  </si>
  <si>
    <t>17_test_100_9000_tc1_bfp9_cfg_27_rb_30_fs_9</t>
  </si>
  <si>
    <t>18_test_100_9000_tc1_bfp9_cfg_21_rb_0_fs_12</t>
  </si>
  <si>
    <t>19_test_100_9000_tc1_bfp9_cfg_16_rb_0_fs_5</t>
  </si>
  <si>
    <t>20_test_100_9000_tc1_bfp9_cfg_9_rb_0_fs_13</t>
  </si>
  <si>
    <t>21_test_100_9000_tc1_bfp9_cfg_14_rb_0_fs_4</t>
  </si>
  <si>
    <t>22_test_100_9000_tc1_bfp9_ul_sf_27_4axc_fs_11</t>
  </si>
  <si>
    <t>4 axc_specific slot allocation pcap with subframe 2 and 7 enabled without prach</t>
  </si>
  <si>
    <t>23_test_100_9000_tc1_bfp9_ul_sf_27_8axc_fs_1</t>
  </si>
  <si>
    <t>8axc_specific slot allocation pcap with subframe 2 and 7 enabled with prach</t>
  </si>
  <si>
    <t>24_test_100_9000_tc1_bfp9_ul_sf_13579_4axc_fs_6</t>
  </si>
  <si>
    <t>4 axc_specific slot allocation pcap with subframe 1 3 5 7 9 enabled with prach</t>
  </si>
  <si>
    <t>25_test_100_9000_tc1_bfp9_ul_sf_13579_8axc_fs_10</t>
  </si>
  <si>
    <t>8 axc_specific slot allocation pcap with subframe 1 3 5 7 9 enabled with prach</t>
  </si>
  <si>
    <t>26_test_100_9000_tc1_bfp9_tdd_spl_slot_cfg_9_fs_11</t>
  </si>
  <si>
    <t>4 axc_special slot pcap with tdd pattern DDDSUUDDDD for cfg 9</t>
  </si>
  <si>
    <t>27_test_100_9000_tc1_bfp9_tdd_spl_slot_cfg_14_fs_9</t>
  </si>
  <si>
    <t>4 axc_special slot pcap with tdd pattern DDDSUUDDDD for cfg 14</t>
  </si>
  <si>
    <t>28_test_100_9000_tc1_bfp9_tdd_spl_slot_cfg_19_fs_14</t>
  </si>
  <si>
    <t>4 axc_special slot pcap with tdd pattern DDDSUUDDDD for cfg 19</t>
  </si>
  <si>
    <t>29_test_100_60_9000_tc1_bfp9_eaxc_fs_15</t>
  </si>
  <si>
    <t>golden tc</t>
  </si>
  <si>
    <t>30_test_100_9000_tc1_bfp9_eaxc_blanking_cc2_disable_fs_13</t>
  </si>
  <si>
    <t>31_test_100_9000_tc1_bfp9_prb_axc_blank_fs_12</t>
  </si>
  <si>
    <t>32_test_100_9000_tc1_bfp9_sym_blank_fs_8</t>
  </si>
  <si>
    <t>33_test_100_9000_tc1_bfp9_only_7th_axc_fs_14</t>
  </si>
  <si>
    <t>except 7th axc all other axcs are blanked</t>
  </si>
  <si>
    <t>Input File</t>
  </si>
  <si>
    <t>In this test we are disabling compression, configuring the port as 1944 samples</t>
  </si>
  <si>
    <t>fdv_exp.txt</t>
  </si>
  <si>
    <t>IN PROGRESS</t>
  </si>
  <si>
    <t>In this test we are disabling compression, configuring the port as 3276 samples</t>
  </si>
  <si>
    <t>In this test we are disabling compression, configuring the Bandwidth as 100MHz</t>
  </si>
  <si>
    <t>interleaver_lineup1_exp.txt for lineup1</t>
  </si>
  <si>
    <t>interleaver_lineup2_exp.txt for lineup2</t>
  </si>
  <si>
    <t>In this test we are disabling compression, configuring the Bandwidth as 60MHz</t>
  </si>
  <si>
    <t>YET TO BE DONE
input and output expected files yet to generated</t>
  </si>
  <si>
    <t>interpolator_exp.txt</t>
  </si>
  <si>
    <t>yet to be generated</t>
  </si>
  <si>
    <t>Use case</t>
  </si>
  <si>
    <t>b4 format</t>
  </si>
  <si>
    <t>prach_sim_input.txt</t>
  </si>
  <si>
    <t>PASSING FOR 5 SUBFRAME</t>
  </si>
  <si>
    <t>Number of sections</t>
  </si>
  <si>
    <t>startPRB</t>
  </si>
  <si>
    <t>numprb</t>
  </si>
  <si>
    <t>Test Vector</t>
  </si>
  <si>
    <t xml:space="preserve">STATUS: 
RTL SYS ID: XXXXX </t>
  </si>
  <si>
    <t>MTU Size= 9000 (91 PRBs)</t>
  </si>
  <si>
    <t>One c-plane packet for all 14 symbol with single section, MTU: 9000</t>
  </si>
  <si>
    <t>usecase-1</t>
  </si>
  <si>
    <t>One c-plane per symbol with single section MTU: 9000</t>
  </si>
  <si>
    <t>usecase-2</t>
  </si>
  <si>
    <t>test_100_9000_tc2</t>
  </si>
  <si>
    <t>…</t>
  </si>
  <si>
    <t>Receiving one c-plane packet with 21 section with each section 
using 13 PRBs for all 14 symbols MTU: 9000
Combining of multiple small sections</t>
  </si>
  <si>
    <t>usecase-3</t>
  </si>
  <si>
    <t>test_100_9000_tc3</t>
  </si>
  <si>
    <t>usecase-4</t>
  </si>
  <si>
    <t>test_100_9000_tc4</t>
  </si>
  <si>
    <t>One c-plane with 7 section using syminc MTU: 9000
Fragmentation into 91 PRB</t>
  </si>
  <si>
    <t>usecase-5</t>
  </si>
  <si>
    <t>test_100_9000_tc5</t>
  </si>
  <si>
    <t xml:space="preserve">Testcase 4 + Out of order 
Receiving one c-plane packet with 21 section with each section 
using 13 PRBs for each symbol with out of order </t>
  </si>
  <si>
    <t>usecase-6</t>
  </si>
  <si>
    <t>test_100_9000_tc6</t>
  </si>
  <si>
    <t>usecase 4 with dropping some PRBs</t>
  </si>
  <si>
    <t>test_100_9000_tc7</t>
  </si>
  <si>
    <t>usecase 6 with dropping some PRBs</t>
  </si>
  <si>
    <t>test_100_9000_tc8</t>
  </si>
  <si>
    <t>9 to 16</t>
  </si>
  <si>
    <t>Test case 9 to 16 with BFP 9 bit Compression</t>
  </si>
  <si>
    <t>Example given for usecase-1</t>
  </si>
  <si>
    <t>MTU Size= 1500 (30 PRBs)</t>
  </si>
  <si>
    <t>Receiving one c-plane packet for all 14 symbol, MTU: 1500</t>
  </si>
  <si>
    <t>test_100_1500_tc1</t>
  </si>
  <si>
    <t>Receiving one c-plane packet for each symbol , MTU: 1500</t>
  </si>
  <si>
    <t>test_100_1500_tc2</t>
  </si>
  <si>
    <t>Receiving one c-plane packet with 18 section with each section 
using  15 PRBs and one section using 3 PRBs for all 14 symbols , MTU: 1500</t>
  </si>
  <si>
    <t>test_100_1500_tc3</t>
  </si>
  <si>
    <t>Receiving one c-plane packet with 18 section with each section 
using  15 PRBs and one section using 3 PRBs for each symbol , MTU: 1500</t>
  </si>
  <si>
    <t>test_100_1500_tc4</t>
  </si>
  <si>
    <t>Receiving one c-plane with 7 section using syminc , MTU: 1500</t>
  </si>
  <si>
    <t>test_100_1500_tc5</t>
  </si>
  <si>
    <t>Receiving one c-plane packet with 18 section with each section 
using  15 PRBs and one section using 3 PRBs for each symbol with out of order , MTU: 1500</t>
  </si>
  <si>
    <t>test_100_1500_tc6</t>
  </si>
  <si>
    <t>usecase 4 with dropping some PRBs , MTU: 1500</t>
  </si>
  <si>
    <t>test_100_1500_tc7</t>
  </si>
  <si>
    <t>usecase 6 with dropping some PRBs , MTU: 1500</t>
  </si>
  <si>
    <t>test_100_1500_tc8</t>
  </si>
  <si>
    <t>25-32</t>
  </si>
  <si>
    <t>Compression - BFP - 9Bit , MTU: 1500</t>
  </si>
  <si>
    <t>usecase-1 Explained with example</t>
  </si>
  <si>
    <t>test_100_1500_tc1_bfp9</t>
  </si>
  <si>
    <t>Simulation
Status</t>
  </si>
  <si>
    <t>Receiving one c-plane packet for all 14 symbol,MTU: 9000</t>
  </si>
  <si>
    <t>Receiving one c-plane packet for each symbol,MTU: 9000</t>
  </si>
  <si>
    <t>test_60_9000_tc2</t>
  </si>
  <si>
    <t>Refer Usecase Sheet</t>
  </si>
  <si>
    <t>Receiving one c-plane packet with 9 section with each section 
using 18 PRBs for all 14 symbols ,MTU: 9000</t>
  </si>
  <si>
    <t>test_60_9000_tc3</t>
  </si>
  <si>
    <t>Receiving one c-plane packet with 9 section with each section 
using 18 PRBs for each symbol ,MTU: 9000</t>
  </si>
  <si>
    <t>test_60_9000_tc4</t>
  </si>
  <si>
    <t>Receiving one c-plane packet with 7 section using syminc ,MTU: 9000</t>
  </si>
  <si>
    <t>test_60_9000_tc5</t>
  </si>
  <si>
    <t>Receiving one c-plane packet with 9 section with each section 
using 18 PRBs for each symbol with out of order ,MTU: 9000</t>
  </si>
  <si>
    <t>test_60_9000_tc6</t>
  </si>
  <si>
    <t>usecase 4 with dropping some PRBs ,MTU: 9000</t>
  </si>
  <si>
    <t>test_60_9000_tc7</t>
  </si>
  <si>
    <t>usecase 6 with dropping some PRBs ,MTU: 9000</t>
  </si>
  <si>
    <t>test_60_9000_tc8</t>
  </si>
  <si>
    <t>Compression - BFP - 9Bit ,MTU: 9000</t>
  </si>
  <si>
    <t>Receiving one c-plane packet for all 14 symbol ,MTU: 1500</t>
  </si>
  <si>
    <t>test_60_1500_tc1</t>
  </si>
  <si>
    <t>Receiving one c-plane packet for each symbol,MTU: 1500</t>
  </si>
  <si>
    <t>test_60_1500_tc2</t>
  </si>
  <si>
    <t>Receiving one c-plane packet with 10 section with each section 
using  15 PRBs and one section using 12 PRBs for all 14 symbols,MTU: 1500</t>
  </si>
  <si>
    <t>test_60_1500_tc3</t>
  </si>
  <si>
    <t>Receiving one c-plane packet with 10 section with each section 
using  15 PRBs and one section using 12 PRBs for each symbol,
MTU: 1500</t>
  </si>
  <si>
    <t>test_60_1500_tc4</t>
  </si>
  <si>
    <t>Receiving one c-plane with 7 section using syminc,MTU: 1500</t>
  </si>
  <si>
    <t>test_60_1500_tc5</t>
  </si>
  <si>
    <t>Receiving one c-plane packet with 10 section with each section 
using  15 PRBs and one section using 12 PRBs for each symbol with out of order,MTU: 1500</t>
  </si>
  <si>
    <t>test_60_1500_tc6</t>
  </si>
  <si>
    <t>usecase 4 with dropping some PRBs,MTU: 1500</t>
  </si>
  <si>
    <t>test_60_1500_tc7</t>
  </si>
  <si>
    <t>usecase 6 with dropping some PRBs,MTU: 1500</t>
  </si>
  <si>
    <t>test_60_1500_tc8</t>
  </si>
  <si>
    <t>Compression - BFP - 9Bit,MTU: 1500</t>
  </si>
  <si>
    <t>test_60_1500_tc1_bfp9</t>
  </si>
  <si>
    <t>One c-plane packet for all 14 symbol with single section, MTU: 4410</t>
  </si>
  <si>
    <t>test_100_4410_tc1</t>
  </si>
  <si>
    <t>One c-plane per symbol with single section MTU: 4410</t>
  </si>
  <si>
    <t>test_100_4410_tc2</t>
  </si>
  <si>
    <t>Receiving one c-plane packet with 21 section with each section 
using 13 PRBs for all 14 symbols MTU: 4410
Combining of multiple small sections</t>
  </si>
  <si>
    <t>test_100_4410_tc3</t>
  </si>
  <si>
    <t>Receiving one c-plane packet with 21 section with each section 
using 13 PRBs for each symbol MTU: 4410</t>
  </si>
  <si>
    <t>test_100_4410_tc4</t>
  </si>
  <si>
    <t>One c-plane with 7 section using syminc MTU: 4410
Fragmentation into 91 PRB</t>
  </si>
  <si>
    <t>test_100_4410_tc5</t>
  </si>
  <si>
    <t>test_100_4410_tc6</t>
  </si>
  <si>
    <t>test_100_4410_tc7</t>
  </si>
  <si>
    <t>test_100_4410_tc8</t>
  </si>
  <si>
    <t>test_100_4410_tc1_bfp9</t>
  </si>
  <si>
    <t>Receiving one c-plane packet for all 14 symbol,MTU: 4410</t>
  </si>
  <si>
    <t>test_60_4410_tc1</t>
  </si>
  <si>
    <t>Receiving one c-plane packet for each symbol,MTU: 4410</t>
  </si>
  <si>
    <t>test_60_4410_tc2</t>
  </si>
  <si>
    <t>Receiving one c-plane packet with 9 section with each section 
using 18 PRBs for all 14 symbols ,MTU: 4410</t>
  </si>
  <si>
    <t>test_60_4410_tc3</t>
  </si>
  <si>
    <t>Receiving one c-plane packet with 9 section with each section 
using 18 PRBs for each symbol ,MTU: 4410</t>
  </si>
  <si>
    <t>test_60_4410_tc4</t>
  </si>
  <si>
    <t>Receiving one c-plane packet with 7 section using syminc ,MTU: 4410</t>
  </si>
  <si>
    <t>test_60_4410_tc5</t>
  </si>
  <si>
    <t>Receiving one c-plane packet with 9 section with each section 
using 18 PRBs for each symbol with out of order ,MTU: 4410</t>
  </si>
  <si>
    <t>test_60_4410_tc6</t>
  </si>
  <si>
    <t>usecase 4 with dropping some PRBs ,MTU: 4410</t>
  </si>
  <si>
    <t>test_60_4410_tc7</t>
  </si>
  <si>
    <t>usecase 6 with dropping some PRBs ,MTU: 4410</t>
  </si>
  <si>
    <t>test_60_4410_tc8</t>
  </si>
  <si>
    <t>Compression - BFP - 9Bit ,MTU: 4410</t>
  </si>
  <si>
    <t>test_60_4410_tc1_bfp9</t>
  </si>
  <si>
    <t>Use-Cases</t>
  </si>
  <si>
    <t>Use Case - 1</t>
  </si>
  <si>
    <t>Use Case - 2</t>
  </si>
  <si>
    <t>Use Case - 3</t>
  </si>
  <si>
    <t>Comments</t>
  </si>
  <si>
    <t>One C Plane packet will carry information for all 14 Symbol</t>
  </si>
  <si>
    <t>One C Plane packet will carry information for only one Symbol</t>
  </si>
  <si>
    <t>Same as Use case - 1.</t>
  </si>
  <si>
    <t>But One C Plane packet will have multiple Section and each section carries information for all 14 symbol/ Few Symbols</t>
  </si>
  <si>
    <t>(each section can have different reMask and rb Indicator)</t>
  </si>
  <si>
    <t>Symbol</t>
  </si>
  <si>
    <t>Sec. Hdr</t>
  </si>
  <si>
    <t>AXC-0-7</t>
  </si>
  <si>
    <t>Num</t>
  </si>
  <si>
    <t>Sym - 0</t>
  </si>
  <si>
    <t>SeC - 0</t>
  </si>
  <si>
    <t>S.PRB-1</t>
  </si>
  <si>
    <t>N.PRB-273</t>
  </si>
  <si>
    <t>N.PRB-10</t>
  </si>
  <si>
    <t>Sym 0 - 13</t>
  </si>
  <si>
    <t>Sym 0</t>
  </si>
  <si>
    <t>Sym 0-13</t>
  </si>
  <si>
    <t>(SymInc - 0</t>
  </si>
  <si>
    <t>(SymInc-0</t>
  </si>
  <si>
    <t>NumSym-14)</t>
  </si>
  <si>
    <t>NumSym-1)</t>
  </si>
  <si>
    <t>NumSym-13)</t>
  </si>
  <si>
    <t>SeC - 1</t>
  </si>
  <si>
    <t>Nil</t>
  </si>
  <si>
    <t>S.PRB-10</t>
  </si>
  <si>
    <t>N.PRB-20</t>
  </si>
  <si>
    <t>Sym 0 -13</t>
  </si>
  <si>
    <t>SeC - 2</t>
  </si>
  <si>
    <t>S.PRB-30</t>
  </si>
  <si>
    <t>N.PRB-40</t>
  </si>
  <si>
    <t>SeC - 13</t>
  </si>
  <si>
    <t>S.PRB-200</t>
  </si>
  <si>
    <t>N.PRB-210</t>
  </si>
  <si>
    <t>SeC 14-62</t>
  </si>
  <si>
    <t>SeC - 63</t>
  </si>
  <si>
    <t>S.PRB-260</t>
  </si>
  <si>
    <t>Sym 1 to 12</t>
  </si>
  <si>
    <t>Sym - 13</t>
  </si>
  <si>
    <t>Sym 13</t>
  </si>
  <si>
    <t>SeC - 3</t>
  </si>
  <si>
    <t>SeC 4-62</t>
  </si>
  <si>
    <t>tc_01</t>
  </si>
  <si>
    <t>tc_02</t>
  </si>
  <si>
    <t>tc_03</t>
  </si>
  <si>
    <t>tc_04</t>
  </si>
  <si>
    <t>tc_05</t>
  </si>
  <si>
    <t>tc_06</t>
  </si>
  <si>
    <t>tc_07</t>
  </si>
  <si>
    <t>tc_08</t>
  </si>
  <si>
    <t>tc_09</t>
  </si>
  <si>
    <t>tc_10</t>
  </si>
  <si>
    <t>tc_11</t>
  </si>
  <si>
    <t>tc_12</t>
  </si>
  <si>
    <t>tc_13</t>
  </si>
  <si>
    <t>tc_14</t>
  </si>
  <si>
    <t>tc_15</t>
  </si>
  <si>
    <t>tc_16</t>
  </si>
  <si>
    <t>tc_17</t>
  </si>
  <si>
    <t>tc_18</t>
  </si>
  <si>
    <t>tc_19</t>
  </si>
  <si>
    <t>DL_blank</t>
  </si>
  <si>
    <t>tc_20</t>
  </si>
  <si>
    <t>tc_21</t>
  </si>
  <si>
    <t>CFG_Index = 256
Freq_offset = 250
PID = 61
Seq_Num = 732
Prach gain = 1.5</t>
  </si>
  <si>
    <t xml:space="preserve">  tc_22</t>
  </si>
  <si>
    <t>CFG_Index = 262
Freq_offset = 250
PID = 61
Seq_Num = 732
Prach gain = 0.5</t>
  </si>
  <si>
    <t xml:space="preserve">  tc_23</t>
  </si>
  <si>
    <t xml:space="preserve">  tc_24</t>
  </si>
  <si>
    <t>prb blank in DL</t>
  </si>
  <si>
    <t xml:space="preserve">  tc_25</t>
  </si>
  <si>
    <t xml:space="preserve"> 4,5,6,10  symbols blanked in DL and UL
</t>
  </si>
  <si>
    <t xml:space="preserve">  tc_26</t>
  </si>
  <si>
    <t xml:space="preserve">axc 1 and 4 blanked  &amp; 4,5,6,10  symbols blanked in DL and UL
</t>
  </si>
  <si>
    <t xml:space="preserve">  tc_27</t>
  </si>
  <si>
    <t xml:space="preserve">  tc_28</t>
  </si>
  <si>
    <r>
      <t xml:space="preserve">         </t>
    </r>
    <r>
      <rPr>
        <sz val="11"/>
        <color rgb="FFFF0000"/>
        <rFont val="Calibri"/>
        <family val="2"/>
        <scheme val="minor"/>
      </rPr>
      <t xml:space="preserve">   B4</t>
    </r>
    <r>
      <rPr>
        <sz val="11"/>
        <color theme="1"/>
        <rFont val="Calibri"/>
        <family val="2"/>
        <scheme val="minor"/>
      </rPr>
      <t xml:space="preserve">
CFG_Index =167
Freq_offset =0
PID =23
Seq_Num =53</t>
    </r>
  </si>
  <si>
    <t>tc_29</t>
  </si>
  <si>
    <t>Blank first 62 prb's for slot 1 symbols even subframes for CC1 axcs
Blank middle 91 prb's for slot 0 symbols odd subframes for CC2 axcs in both DL and UL</t>
  </si>
  <si>
    <t>tc_30</t>
  </si>
  <si>
    <t>Blank first 62 prb's for slot 1 symbols
 even subframes  in both DL and UL</t>
  </si>
  <si>
    <t>tc_31</t>
  </si>
  <si>
    <t>Blank last 91 prb's for slot 0 symbols 
odd subframes in both DL and UL</t>
  </si>
  <si>
    <t>tc_32</t>
  </si>
  <si>
    <r>
      <t xml:space="preserve">        </t>
    </r>
    <r>
      <rPr>
        <sz val="11"/>
        <color rgb="FFFF0000"/>
        <rFont val="Calibri"/>
        <family val="2"/>
        <scheme val="minor"/>
      </rPr>
      <t xml:space="preserve">      A1</t>
    </r>
    <r>
      <rPr>
        <sz val="11"/>
        <rFont val="Calibri"/>
        <family val="2"/>
        <scheme val="minor"/>
      </rPr>
      <t xml:space="preserve">
CFG_Index =84
Freq_offset =0
PID =23
Seq_Num =53</t>
    </r>
  </si>
  <si>
    <t xml:space="preserve">No
</t>
  </si>
  <si>
    <t>tc_33</t>
  </si>
  <si>
    <r>
      <t xml:space="preserve">               </t>
    </r>
    <r>
      <rPr>
        <sz val="11"/>
        <color rgb="FFFF0000"/>
        <rFont val="Calibri"/>
        <family val="2"/>
        <scheme val="minor"/>
      </rPr>
      <t>A2</t>
    </r>
    <r>
      <rPr>
        <sz val="11"/>
        <rFont val="Calibri"/>
        <family val="2"/>
        <scheme val="minor"/>
      </rPr>
      <t xml:space="preserve">
CFG_Index = 103
Freq_offset = 45
PID = 19
Seq_Num = 137</t>
    </r>
  </si>
  <si>
    <t>8,9</t>
  </si>
  <si>
    <t>tc_34</t>
  </si>
  <si>
    <r>
      <t xml:space="preserve">               </t>
    </r>
    <r>
      <rPr>
        <sz val="11"/>
        <color rgb="FFFF0000"/>
        <rFont val="Calibri"/>
        <family val="2"/>
        <scheme val="minor"/>
      </rPr>
      <t xml:space="preserve"> A3</t>
    </r>
    <r>
      <rPr>
        <sz val="11"/>
        <color theme="1"/>
        <rFont val="Calibri"/>
        <family val="2"/>
        <scheme val="minor"/>
      </rPr>
      <t xml:space="preserve">
CFG_Index = 120
Freq_offset = 52
PID = 48
Seq_Num = 40</t>
    </r>
  </si>
  <si>
    <t>tc_35</t>
  </si>
  <si>
    <r>
      <t xml:space="preserve">         </t>
    </r>
    <r>
      <rPr>
        <sz val="11"/>
        <color rgb="FFFF0000"/>
        <rFont val="Calibri"/>
        <family val="2"/>
        <scheme val="minor"/>
      </rPr>
      <t xml:space="preserve">       B1</t>
    </r>
    <r>
      <rPr>
        <sz val="11"/>
        <color theme="1"/>
        <rFont val="Calibri"/>
        <family val="2"/>
        <scheme val="minor"/>
      </rPr>
      <t xml:space="preserve">
CFG_Index =134
Freq_offset =0
PID =23
Seq_Num =53</t>
    </r>
  </si>
  <si>
    <t>tc_36</t>
  </si>
  <si>
    <r>
      <t xml:space="preserve">              </t>
    </r>
    <r>
      <rPr>
        <sz val="11"/>
        <color rgb="FFFF0000"/>
        <rFont val="Calibri"/>
        <family val="2"/>
        <scheme val="minor"/>
      </rPr>
      <t xml:space="preserve"> C0</t>
    </r>
    <r>
      <rPr>
        <sz val="11"/>
        <color theme="1"/>
        <rFont val="Calibri"/>
        <family val="2"/>
        <scheme val="minor"/>
      </rPr>
      <t xml:space="preserve">
CFG_Index =174
Freq_offset =0
PID =34
Seq_Num =53</t>
    </r>
  </si>
  <si>
    <t>7,9</t>
  </si>
  <si>
    <t>tc_37</t>
  </si>
  <si>
    <t>tc_38</t>
  </si>
  <si>
    <r>
      <t xml:space="preserve">      </t>
    </r>
    <r>
      <rPr>
        <sz val="11"/>
        <color rgb="FFFF0000"/>
        <rFont val="Calibri"/>
        <family val="2"/>
        <scheme val="minor"/>
      </rPr>
      <t xml:space="preserve">     A1/B1</t>
    </r>
    <r>
      <rPr>
        <sz val="11"/>
        <color theme="1"/>
        <rFont val="Calibri"/>
        <family val="2"/>
        <scheme val="minor"/>
      </rPr>
      <t xml:space="preserve">
CFG_Index = 212
Freq_offset = 24
PID = 56
Seq_Num = 130</t>
    </r>
  </si>
  <si>
    <t>4,9</t>
  </si>
  <si>
    <t>tc_39</t>
  </si>
  <si>
    <t>tc_40</t>
  </si>
  <si>
    <r>
      <rPr>
        <sz val="11"/>
        <color rgb="FFFF0000"/>
        <rFont val="Calibri"/>
        <family val="2"/>
        <scheme val="minor"/>
      </rPr>
      <t xml:space="preserve">           A3/B3</t>
    </r>
    <r>
      <rPr>
        <sz val="11"/>
        <rFont val="Calibri"/>
        <family val="2"/>
        <scheme val="minor"/>
      </rPr>
      <t xml:space="preserve">
CFG_Index = 246
Freq_offset = 234
PID = 2
Seq_Num = 101</t>
    </r>
  </si>
  <si>
    <t xml:space="preserve">8,9 </t>
  </si>
  <si>
    <t>tc_41</t>
  </si>
  <si>
    <t>tc_42</t>
  </si>
  <si>
    <t>tc_43</t>
  </si>
  <si>
    <t xml:space="preserve">   multisection -       DL &amp; UL
CFG_Index =21
Freq_offset 49
PID =24
Seq_Num =54</t>
  </si>
  <si>
    <t xml:space="preserve">Multisection with symbol blanking 
symbol 0,8,13 blanked in even slot -prb divided unevenly
symbol 2,3,4,13 blanked in odd slot - prb divided evenly
</t>
  </si>
  <si>
    <t>tc_44</t>
  </si>
  <si>
    <t xml:space="preserve">   multisection -             DL &amp; UL
CFG_Index =9
Freq_offset =89
PID =20
Seq_Num =54</t>
  </si>
  <si>
    <t xml:space="preserve">multisection+axc blank+symbol blank
0  and  2 eaxc blanked, symbol 0,8,13 blanked in even slot -prb divided unevenly
symbol 2,3,4,13 blanked in odd slot - prb divided evenly
</t>
  </si>
  <si>
    <t>tc_45</t>
  </si>
  <si>
    <r>
      <rPr>
        <sz val="11"/>
        <color rgb="FFFF0000"/>
        <rFont val="Calibri"/>
        <family val="2"/>
        <scheme val="minor"/>
      </rPr>
      <t xml:space="preserve">  multisection -                 UL</t>
    </r>
    <r>
      <rPr>
        <sz val="11"/>
        <rFont val="Calibri"/>
        <family val="2"/>
        <scheme val="minor"/>
      </rPr>
      <t xml:space="preserve">
CFG_Index = 19
Freq_offset = 108
PID = 9
Seq_Num = 777</t>
    </r>
  </si>
  <si>
    <r>
      <rPr>
        <b/>
        <sz val="11"/>
        <rFont val="Calibri"/>
        <family val="2"/>
        <scheme val="minor"/>
      </rPr>
      <t>multisection+TDD+symbol blank (DDDSUUDDDD pattern)</t>
    </r>
    <r>
      <rPr>
        <sz val="11"/>
        <rFont val="Calibri"/>
        <family val="2"/>
        <scheme val="minor"/>
      </rPr>
      <t xml:space="preserve">
 symbol- 0, 4,9,10,11,13  blanked in UL
special slot UL ie enabled from10:13 symbols with 273  prb split  
</t>
    </r>
  </si>
  <si>
    <t>tc_46</t>
  </si>
  <si>
    <t>tc_47</t>
  </si>
  <si>
    <r>
      <rPr>
        <b/>
        <sz val="11"/>
        <color theme="1"/>
        <rFont val="Calibri"/>
        <family val="2"/>
        <scheme val="minor"/>
      </rPr>
      <t xml:space="preserve">Multisection-AxC and prb blanking
</t>
    </r>
    <r>
      <rPr>
        <sz val="11"/>
        <color theme="1"/>
        <rFont val="Calibri"/>
        <family val="2"/>
        <scheme val="minor"/>
      </rPr>
      <t xml:space="preserve">1,2 axc blanked
PRB blanking -  0-0,9-17,98-117,158-161 in even slot
27-38,166-77,157-161 in odd slot
</t>
    </r>
  </si>
  <si>
    <t>tc_48</t>
  </si>
  <si>
    <t xml:space="preserve">multisection+axc blank+symbol blank+prb blank
1  and  3 eaxc blanked
symbol 0,8,13 blanked in even slot with prb blanked in sym 1:7 -0-95 prb, sym 9:12 -0:128 prb
symbol 2,3,4,13 blanked in odd slot - sym 0:1 - 223-273 prb,5:12 - 0:90,5:12 -182-272 prb blanked
</t>
  </si>
  <si>
    <t>tc_49</t>
  </si>
  <si>
    <r>
      <rPr>
        <sz val="11"/>
        <color rgb="FFFF0000"/>
        <rFont val="Calibri"/>
        <family val="2"/>
        <scheme val="minor"/>
      </rPr>
      <t xml:space="preserve">  multisection -                 DL &amp; UL</t>
    </r>
    <r>
      <rPr>
        <sz val="11"/>
        <rFont val="Calibri"/>
        <family val="2"/>
        <scheme val="minor"/>
      </rPr>
      <t xml:space="preserve">
CFG_Index = 19
Freq_offset = 108
PID = 9
Seq_Num = 777</t>
    </r>
  </si>
  <si>
    <r>
      <rPr>
        <b/>
        <sz val="11"/>
        <rFont val="Calibri"/>
        <family val="2"/>
        <scheme val="minor"/>
      </rPr>
      <t>multisection+TDD+axc blank+symbol blank</t>
    </r>
    <r>
      <rPr>
        <sz val="11"/>
        <rFont val="Calibri"/>
        <family val="2"/>
        <scheme val="minor"/>
      </rPr>
      <t xml:space="preserve">
axc 2,3  blanked, 
multisection in DL with prb equally split as 27
symbol- 0, 4,9,10,11,13  blanked in UL
special slot UL ie enabled from 11:13 symbols with 162  prb split  (10th symbol is blanked)
</t>
    </r>
  </si>
  <si>
    <t>tc_50</t>
  </si>
  <si>
    <t xml:space="preserve">  multisection -                 DL &amp; UL
CFG_Index = 25
Freq_offset = 108
PID = 9
Seq_Num = 777</t>
  </si>
  <si>
    <r>
      <rPr>
        <b/>
        <sz val="11"/>
        <rFont val="Calibri"/>
        <family val="2"/>
        <scheme val="minor"/>
      </rPr>
      <t>multisection+TDD+axc blank+symbol blank+prb blank</t>
    </r>
    <r>
      <rPr>
        <sz val="11"/>
        <rFont val="Calibri"/>
        <family val="2"/>
        <scheme val="minor"/>
      </rPr>
      <t xml:space="preserve">
axc 0,1 blanked
TDD---&gt; all dl slot ---&gt; all 162 prb; special slot(3,13) --&gt;
multisection in DL with prb equally split as 27 with sym 1:5 (0th sym is blanked) and prb 0-26,54-80,135-161 blanked
symbol- 0, 4,9,10,11,13  blanked, UL slots --&gt; sym 1:3 - 0-36 blanked, sym 5:8 - 159-161 blanked, sym 12:12 - all 162 prb(no blanking)
special slot UL ie enabled from 11:12 symbols (10,13 th symbol is blanked) with prb 81-86 blanked 
</t>
    </r>
  </si>
  <si>
    <t xml:space="preserve">  tc_51</t>
  </si>
  <si>
    <t>CFG_Index = 261
Freq_offset = 250
PID = 61
Seq_Num = 732
Prach gain = 0.5</t>
  </si>
  <si>
    <t xml:space="preserve">FDD
</t>
  </si>
  <si>
    <t xml:space="preserve">  tc_52</t>
  </si>
  <si>
    <t>Blank middle 91 prb's in both DL and UL
slot</t>
  </si>
  <si>
    <t xml:space="preserve">  tc_53</t>
  </si>
  <si>
    <r>
      <rPr>
        <sz val="11"/>
        <color rgb="FF000000"/>
        <rFont val="Calibri"/>
        <family val="2"/>
        <scheme val="minor"/>
      </rPr>
      <t xml:space="preserve">Blank first and last 91 prb's in both DL and UL
</t>
    </r>
    <r>
      <rPr>
        <b/>
        <sz val="11"/>
        <color rgb="FF000000"/>
        <rFont val="Calibri"/>
        <family val="2"/>
        <scheme val="minor"/>
      </rPr>
      <t>slot</t>
    </r>
  </si>
  <si>
    <t>tc_54</t>
  </si>
  <si>
    <t>tc_55</t>
  </si>
  <si>
    <r>
      <rPr>
        <b/>
        <sz val="11"/>
        <color rgb="FF000000"/>
        <rFont val="Calibri"/>
        <family val="2"/>
        <scheme val="minor"/>
      </rPr>
      <t xml:space="preserve">multisection pcap in UL 
</t>
    </r>
    <r>
      <rPr>
        <sz val="11"/>
        <color rgb="FF000000"/>
        <rFont val="Calibri"/>
        <family val="2"/>
        <scheme val="minor"/>
      </rPr>
      <t xml:space="preserve">- eaxc and symbol blanking(axc 0 , 2 blanked)
even subframe - 2:8 - 0-13,13-149
10:12 -0-81,81-81(0,1,9,13 blanked)
odd subframe - 0:4 -0-50,50-112
8:12 -0:81,81:81 (5,6,7,13 blanked)
slot
</t>
    </r>
  </si>
  <si>
    <t xml:space="preserve">  tc_56</t>
  </si>
  <si>
    <t xml:space="preserve"> 4,5,6,10  symbols blanked in slot 0 and
 0,1,8,13 are blanked in slot 1 in both DL &amp; UL
slotwise pcap</t>
  </si>
  <si>
    <t>tc_57</t>
  </si>
  <si>
    <t>axc 1 and 4 blanked</t>
  </si>
  <si>
    <t>tc_58</t>
  </si>
  <si>
    <r>
      <rPr>
        <b/>
        <sz val="11"/>
        <color rgb="FF000000"/>
        <rFont val="Calibri"/>
        <family val="2"/>
        <scheme val="minor"/>
      </rPr>
      <t xml:space="preserve">Axc+sym blank 
</t>
    </r>
    <r>
      <rPr>
        <sz val="11"/>
        <color rgb="FF000000"/>
        <rFont val="Calibri"/>
        <family val="2"/>
        <scheme val="minor"/>
      </rPr>
      <t>axc 0 and symbol 0 blanked in both UL and DL</t>
    </r>
  </si>
  <si>
    <t>tc_59</t>
  </si>
  <si>
    <r>
      <rPr>
        <b/>
        <sz val="11"/>
        <color rgb="FF000000"/>
        <rFont val="Calibri"/>
        <family val="2"/>
        <scheme val="minor"/>
      </rPr>
      <t xml:space="preserve">sym blank
</t>
    </r>
    <r>
      <rPr>
        <sz val="11"/>
        <color rgb="FF000000"/>
        <rFont val="Calibri"/>
        <family val="2"/>
        <scheme val="minor"/>
      </rPr>
      <t>symbol 0,12,13 blanked in both UL and DL</t>
    </r>
  </si>
  <si>
    <t>tc_60</t>
  </si>
  <si>
    <t>axc 1,4 blanked, symbol 0,1,7,8,13 blanked
Blank first 62 prb's for slot 1 symbols
 even subframes  in both DL and UL
(symbol 2:6  - all 162 prb
symbol 9:12 - 62 to 162 prb)</t>
  </si>
  <si>
    <t>tc_61</t>
  </si>
  <si>
    <r>
      <rPr>
        <sz val="12"/>
        <color rgb="FFFF0000"/>
        <rFont val="Calibri"/>
        <family val="2"/>
        <scheme val="minor"/>
      </rPr>
      <t xml:space="preserve">   </t>
    </r>
    <r>
      <rPr>
        <sz val="11"/>
        <color theme="1"/>
        <rFont val="Calibri"/>
        <family val="2"/>
        <scheme val="minor"/>
      </rPr>
      <t xml:space="preserve">
CFG_Index =27
Freq_offset =0
PID =23
Seq_Num =53</t>
    </r>
  </si>
  <si>
    <r>
      <rPr>
        <b/>
        <sz val="11"/>
        <color theme="1"/>
        <rFont val="Calibri"/>
        <family val="2"/>
        <scheme val="minor"/>
      </rPr>
      <t>Multisection + single section</t>
    </r>
    <r>
      <rPr>
        <sz val="11"/>
        <color theme="1"/>
        <rFont val="Calibri"/>
        <family val="2"/>
        <scheme val="minor"/>
      </rPr>
      <t xml:space="preserve">
symbols = 0 to 13
even slot -  1,91,180,1 prb divided unevenly
odd slot - all 273 prb's in single section
</t>
    </r>
  </si>
  <si>
    <t xml:space="preserve">In this test we are enabling compression, configuring the Bandwidth as 100MHz, MTU as 273 PRB's, FS_Offset as 6, enabling cc1, PCAP also contains data only for CC1 and disabling cc2. </t>
  </si>
  <si>
    <t xml:space="preserve">In this test we are enabling compression, configuring the Bandwidth as 60MHz, MTU as 273 PRB's, FS_Offset as 10, enabling cc1 and disabling cc2. </t>
  </si>
  <si>
    <t xml:space="preserve">In this test we are enabling compression, configuring the Bandwidth as 60MHz, MTU as 273 PRB's and FS_Offset as 10. </t>
  </si>
  <si>
    <t xml:space="preserve">In this test, we are blanking 4 Symbols in each slot and check whether FDV is adding zeros for blanked Symbols. We are configuring FS_Offset as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</si>
</sst>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quot;$&quot;#,##0.00"/>
  </numFmts>
  <fonts count="43" x14ac:knownFonts="1">
    <font>
      <sz val="11"/>
      <color theme="1"/>
      <name val="Calibri"/>
      <family val="2"/>
      <scheme val="minor"/>
    </font>
    <font>
      <b/>
      <sz val="11"/>
      <color theme="1"/>
      <name val="Calibri"/>
      <family val="2"/>
      <scheme val="minor"/>
    </font>
    <font>
      <sz val="8"/>
      <name val="Calibri"/>
      <family val="2"/>
      <scheme val="minor"/>
    </font>
    <font>
      <b/>
      <sz val="16"/>
      <color theme="1"/>
      <name val="Calibri"/>
      <family val="2"/>
      <scheme val="minor"/>
    </font>
    <font>
      <sz val="11"/>
      <color theme="9"/>
      <name val="Calibri"/>
      <family val="2"/>
      <scheme val="minor"/>
    </font>
    <font>
      <sz val="11"/>
      <color theme="7"/>
      <name val="Calibri"/>
      <family val="2"/>
      <scheme val="minor"/>
    </font>
    <font>
      <b/>
      <sz val="11"/>
      <color theme="0"/>
      <name val="Calibri"/>
      <family val="2"/>
      <scheme val="minor"/>
    </font>
    <font>
      <sz val="11"/>
      <color rgb="FF006100"/>
      <name val="Calibri"/>
      <family val="2"/>
      <scheme val="minor"/>
    </font>
    <font>
      <sz val="11"/>
      <color rgb="FF9C5700"/>
      <name val="Calibri"/>
      <family val="2"/>
      <scheme val="minor"/>
    </font>
    <font>
      <sz val="11"/>
      <color theme="1"/>
      <name val="Calibri"/>
      <family val="2"/>
      <scheme val="minor"/>
    </font>
    <font>
      <sz val="18"/>
      <color theme="3"/>
      <name val="Calibri Light"/>
      <family val="2"/>
      <scheme val="major"/>
    </font>
    <font>
      <u/>
      <sz val="11"/>
      <color theme="10"/>
      <name val="Calibri"/>
      <family val="2"/>
      <scheme val="minor"/>
    </font>
    <font>
      <b/>
      <sz val="18"/>
      <color theme="0"/>
      <name val="Calibri Light"/>
      <family val="2"/>
      <scheme val="major"/>
    </font>
    <font>
      <b/>
      <sz val="15"/>
      <color theme="3"/>
      <name val="Calibri"/>
      <family val="2"/>
      <scheme val="minor"/>
    </font>
    <font>
      <sz val="16"/>
      <color rgb="FFFFFFFF"/>
      <name val="Calibri"/>
      <family val="2"/>
      <scheme val="minor"/>
    </font>
    <font>
      <sz val="14"/>
      <color rgb="FF000000"/>
      <name val="Calibri"/>
      <family val="2"/>
      <scheme val="minor"/>
    </font>
    <font>
      <sz val="10"/>
      <color theme="1" tint="0.249977111117893"/>
      <name val="Calibri"/>
      <family val="1"/>
      <scheme val="minor"/>
    </font>
    <font>
      <i/>
      <sz val="8"/>
      <color theme="1" tint="0.249977111117893"/>
      <name val="Calibri"/>
      <family val="1"/>
      <scheme val="minor"/>
    </font>
    <font>
      <sz val="8"/>
      <color theme="1" tint="0.249977111117893"/>
      <name val="Calibri"/>
      <family val="1"/>
      <scheme val="minor"/>
    </font>
    <font>
      <b/>
      <sz val="9"/>
      <color theme="1" tint="0.249977111117893"/>
      <name val="Calibri"/>
      <family val="1"/>
      <scheme val="minor"/>
    </font>
    <font>
      <b/>
      <sz val="10"/>
      <name val="Calibri"/>
      <family val="2"/>
      <scheme val="minor"/>
    </font>
    <font>
      <b/>
      <sz val="10"/>
      <color theme="1" tint="0.249977111117893"/>
      <name val="Calibri"/>
      <family val="2"/>
      <scheme val="minor"/>
    </font>
    <font>
      <b/>
      <sz val="11"/>
      <color rgb="FFFA7D00"/>
      <name val="Calibri"/>
      <family val="2"/>
      <scheme val="minor"/>
    </font>
    <font>
      <b/>
      <sz val="11"/>
      <name val="Calibri"/>
      <family val="2"/>
      <scheme val="minor"/>
    </font>
    <font>
      <b/>
      <sz val="11"/>
      <color rgb="FF3F3F3F"/>
      <name val="Calibri"/>
      <family val="2"/>
      <scheme val="minor"/>
    </font>
    <font>
      <sz val="11"/>
      <color theme="0"/>
      <name val="Calibri"/>
      <family val="2"/>
      <scheme val="minor"/>
    </font>
    <font>
      <b/>
      <sz val="28"/>
      <color theme="1"/>
      <name val="Calibri"/>
      <family val="2"/>
      <scheme val="minor"/>
    </font>
    <font>
      <sz val="11"/>
      <color rgb="FF000000"/>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2"/>
      <color theme="1"/>
      <name val="Calibri"/>
      <family val="2"/>
      <scheme val="minor"/>
    </font>
    <font>
      <strike/>
      <sz val="11"/>
      <color theme="1"/>
      <name val="Calibri"/>
      <family val="2"/>
      <scheme val="minor"/>
    </font>
    <font>
      <sz val="9"/>
      <color indexed="81"/>
      <name val="Tahoma"/>
      <family val="2"/>
    </font>
    <font>
      <b/>
      <sz val="9"/>
      <color indexed="81"/>
      <name val="Tahoma"/>
      <family val="2"/>
    </font>
    <font>
      <b/>
      <sz val="11"/>
      <color rgb="FFFF0000"/>
      <name val="Calibri"/>
      <family val="2"/>
      <scheme val="minor"/>
    </font>
    <font>
      <sz val="11"/>
      <color rgb="FFC00000"/>
      <name val="Calibri"/>
      <family val="2"/>
      <scheme val="minor"/>
    </font>
    <font>
      <sz val="11"/>
      <color rgb="FF7030A0"/>
      <name val="Calibri"/>
      <family val="2"/>
      <scheme val="minor"/>
    </font>
    <font>
      <sz val="12"/>
      <color rgb="FFFF0000"/>
      <name val="Calibri"/>
      <family val="2"/>
      <scheme val="minor"/>
    </font>
    <font>
      <sz val="11"/>
      <color rgb="FF9C0006"/>
      <name val="Calibri"/>
      <family val="2"/>
      <scheme val="minor"/>
    </font>
    <font>
      <b/>
      <i/>
      <sz val="11"/>
      <color theme="1"/>
      <name val="Calibri"/>
      <family val="2"/>
      <scheme val="minor"/>
    </font>
    <font>
      <b/>
      <sz val="11"/>
      <color rgb="FF000000"/>
      <name val="Calibri"/>
      <family val="2"/>
      <scheme val="minor"/>
    </font>
    <font>
      <b/>
      <sz val="12"/>
      <name val="Calibri"/>
      <family val="2"/>
      <scheme val="minor"/>
    </font>
  </fonts>
  <fills count="23">
    <fill>
      <patternFill patternType="none"/>
    </fill>
    <fill>
      <patternFill patternType="gray125"/>
    </fill>
    <fill>
      <patternFill patternType="solid">
        <fgColor theme="4"/>
        <bgColor theme="4"/>
      </patternFill>
    </fill>
    <fill>
      <patternFill patternType="solid">
        <fgColor theme="4" tint="0.39997558519241921"/>
        <bgColor indexed="64"/>
      </patternFill>
    </fill>
    <fill>
      <patternFill patternType="solid">
        <fgColor rgb="FFC6EFCE"/>
      </patternFill>
    </fill>
    <fill>
      <patternFill patternType="solid">
        <fgColor rgb="FFFFEB9C"/>
      </patternFill>
    </fill>
    <fill>
      <patternFill patternType="solid">
        <fgColor theme="7" tint="0.59999389629810485"/>
        <bgColor indexed="64"/>
      </patternFill>
    </fill>
    <fill>
      <patternFill patternType="solid">
        <fgColor rgb="FFFFFFCC"/>
      </patternFill>
    </fill>
    <fill>
      <patternFill patternType="solid">
        <fgColor theme="0"/>
        <bgColor indexed="64"/>
      </patternFill>
    </fill>
    <fill>
      <patternFill patternType="solid">
        <fgColor rgb="FF4472C4"/>
        <bgColor rgb="FF000000"/>
      </patternFill>
    </fill>
    <fill>
      <patternFill patternType="solid">
        <fgColor rgb="FFD9E1F2"/>
        <bgColor rgb="FF000000"/>
      </patternFill>
    </fill>
    <fill>
      <patternFill patternType="solid">
        <fgColor rgb="FFD0CECE"/>
        <bgColor rgb="FF000000"/>
      </patternFill>
    </fill>
    <fill>
      <patternFill patternType="solid">
        <fgColor rgb="FFDBDBDB"/>
        <bgColor rgb="FF000000"/>
      </patternFill>
    </fill>
    <fill>
      <patternFill patternType="solid">
        <fgColor indexed="9"/>
        <bgColor indexed="64"/>
      </patternFill>
    </fill>
    <fill>
      <patternFill patternType="solid">
        <fgColor rgb="FFF2F2F2"/>
      </patternFill>
    </fill>
    <fill>
      <patternFill patternType="solid">
        <fgColor theme="5" tint="0.39997558519241921"/>
        <bgColor indexed="65"/>
      </patternFill>
    </fill>
    <fill>
      <patternFill patternType="solid">
        <fgColor theme="6"/>
      </patternFill>
    </fill>
    <fill>
      <patternFill patternType="solid">
        <fgColor rgb="FFFFFF00"/>
        <bgColor indexed="64"/>
      </patternFill>
    </fill>
    <fill>
      <patternFill patternType="solid">
        <fgColor theme="4" tint="0.39997558519241921"/>
        <bgColor indexed="65"/>
      </patternFill>
    </fill>
    <fill>
      <patternFill patternType="solid">
        <fgColor theme="8"/>
      </patternFill>
    </fill>
    <fill>
      <patternFill patternType="solid">
        <fgColor rgb="FFA5A5A5"/>
      </patternFill>
    </fill>
    <fill>
      <patternFill patternType="solid">
        <fgColor theme="5" tint="0.39997558519241921"/>
        <bgColor indexed="64"/>
      </patternFill>
    </fill>
    <fill>
      <patternFill patternType="solid">
        <fgColor rgb="FFFFC7CE"/>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4"/>
      </left>
      <right style="thin">
        <color indexed="64"/>
      </right>
      <top style="thin">
        <color theme="4"/>
      </top>
      <bottom style="thin">
        <color indexed="64"/>
      </bottom>
      <diagonal/>
    </border>
    <border>
      <left style="thin">
        <color indexed="64"/>
      </left>
      <right style="thin">
        <color indexed="64"/>
      </right>
      <top style="thin">
        <color theme="4"/>
      </top>
      <bottom style="thin">
        <color indexed="64"/>
      </bottom>
      <diagonal/>
    </border>
    <border>
      <left style="thin">
        <color theme="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theme="4"/>
      </top>
      <bottom style="thin">
        <color indexed="64"/>
      </bottom>
      <diagonal/>
    </border>
    <border>
      <left style="thin">
        <color indexed="64"/>
      </left>
      <right style="thin">
        <color indexed="64"/>
      </right>
      <top/>
      <bottom/>
      <diagonal/>
    </border>
    <border>
      <left style="thin">
        <color theme="4"/>
      </left>
      <right style="thin">
        <color indexed="64"/>
      </right>
      <top style="thin">
        <color indexed="64"/>
      </top>
      <bottom/>
      <diagonal/>
    </border>
    <border>
      <left style="thin">
        <color theme="4"/>
      </left>
      <right style="thin">
        <color indexed="64"/>
      </right>
      <top/>
      <bottom/>
      <diagonal/>
    </border>
    <border>
      <left style="thin">
        <color theme="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thick">
        <color theme="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rgb="FF7F7F7F"/>
      </bottom>
      <diagonal/>
    </border>
    <border>
      <left style="thin">
        <color rgb="FF7F7F7F"/>
      </left>
      <right style="thin">
        <color rgb="FF7F7F7F"/>
      </right>
      <top/>
      <bottom style="thin">
        <color rgb="FF7F7F7F"/>
      </bottom>
      <diagonal/>
    </border>
    <border>
      <left style="thin">
        <color rgb="FF7F7F7F"/>
      </left>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rgb="FF7F7F7F"/>
      </right>
      <top style="thin">
        <color rgb="FF7F7F7F"/>
      </top>
      <bottom/>
      <diagonal/>
    </border>
    <border>
      <left style="thin">
        <color indexed="64"/>
      </left>
      <right style="thin">
        <color rgb="FF7F7F7F"/>
      </right>
      <top/>
      <bottom style="thin">
        <color rgb="FF7F7F7F"/>
      </bottom>
      <diagonal/>
    </border>
    <border>
      <left style="thin">
        <color indexed="64"/>
      </left>
      <right style="thin">
        <color rgb="FF7F7F7F"/>
      </right>
      <top style="thin">
        <color indexed="64"/>
      </top>
      <bottom style="thin">
        <color indexed="64"/>
      </bottom>
      <diagonal/>
    </border>
    <border>
      <left style="thin">
        <color indexed="64"/>
      </left>
      <right/>
      <top style="thin">
        <color rgb="FF7F7F7F"/>
      </top>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double">
        <color rgb="FF3F3F3F"/>
      </bottom>
      <diagonal/>
    </border>
    <border>
      <left style="thin">
        <color indexed="64"/>
      </left>
      <right style="medium">
        <color indexed="64"/>
      </right>
      <top/>
      <bottom style="double">
        <color rgb="FF3F3F3F"/>
      </bottom>
      <diagonal/>
    </border>
    <border>
      <left style="thin">
        <color indexed="64"/>
      </left>
      <right style="thin">
        <color indexed="64"/>
      </right>
      <top/>
      <bottom style="double">
        <color rgb="FF3F3F3F"/>
      </bottom>
      <diagonal/>
    </border>
    <border>
      <left style="medium">
        <color indexed="64"/>
      </left>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medium">
        <color indexed="64"/>
      </left>
      <right style="double">
        <color rgb="FF3F3F3F"/>
      </right>
      <top style="double">
        <color rgb="FF3F3F3F"/>
      </top>
      <bottom style="double">
        <color rgb="FF3F3F3F"/>
      </bottom>
      <diagonal/>
    </border>
    <border>
      <left style="double">
        <color rgb="FF3F3F3F"/>
      </left>
      <right style="medium">
        <color indexed="64"/>
      </right>
      <top style="double">
        <color rgb="FF3F3F3F"/>
      </top>
      <bottom style="double">
        <color rgb="FF3F3F3F"/>
      </bottom>
      <diagonal/>
    </border>
    <border>
      <left style="medium">
        <color indexed="64"/>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s>
  <cellStyleXfs count="15">
    <xf numFmtId="0" fontId="0" fillId="0" borderId="0"/>
    <xf numFmtId="0" fontId="7" fillId="4" borderId="0" applyNumberFormat="0" applyBorder="0" applyAlignment="0" applyProtection="0"/>
    <xf numFmtId="0" fontId="8" fillId="5" borderId="0" applyNumberFormat="0" applyBorder="0" applyAlignment="0" applyProtection="0"/>
    <xf numFmtId="0" fontId="10" fillId="0" borderId="0" applyNumberFormat="0" applyFill="0" applyBorder="0" applyAlignment="0" applyProtection="0"/>
    <xf numFmtId="0" fontId="9" fillId="7" borderId="22" applyNumberFormat="0" applyFont="0" applyAlignment="0" applyProtection="0"/>
    <xf numFmtId="0" fontId="11" fillId="0" borderId="0" applyNumberFormat="0" applyFill="0" applyBorder="0" applyAlignment="0" applyProtection="0"/>
    <xf numFmtId="0" fontId="13" fillId="0" borderId="28" applyNumberFormat="0" applyFill="0" applyAlignment="0" applyProtection="0"/>
    <xf numFmtId="0" fontId="22" fillId="14" borderId="35" applyNumberFormat="0" applyAlignment="0" applyProtection="0"/>
    <xf numFmtId="0" fontId="9" fillId="15" borderId="0" applyNumberFormat="0" applyBorder="0" applyAlignment="0" applyProtection="0"/>
    <xf numFmtId="0" fontId="24" fillId="14" borderId="39" applyNumberFormat="0" applyAlignment="0" applyProtection="0"/>
    <xf numFmtId="0" fontId="25" fillId="16" borderId="0" applyNumberFormat="0" applyBorder="0" applyAlignment="0" applyProtection="0"/>
    <xf numFmtId="0" fontId="9" fillId="18" borderId="0" applyNumberFormat="0" applyBorder="0" applyAlignment="0" applyProtection="0"/>
    <xf numFmtId="0" fontId="25" fillId="19" borderId="0" applyNumberFormat="0" applyBorder="0" applyAlignment="0" applyProtection="0"/>
    <xf numFmtId="0" fontId="6" fillId="20" borderId="45" applyNumberFormat="0" applyAlignment="0" applyProtection="0"/>
    <xf numFmtId="0" fontId="39" fillId="22" borderId="0" applyNumberFormat="0" applyBorder="0" applyAlignment="0" applyProtection="0"/>
  </cellStyleXfs>
  <cellXfs count="435">
    <xf numFmtId="0" fontId="0" fillId="0" borderId="0" xfId="0"/>
    <xf numFmtId="0" fontId="0" fillId="0" borderId="1" xfId="0" applyBorder="1"/>
    <xf numFmtId="0" fontId="0" fillId="0" borderId="0" xfId="0" applyAlignment="1">
      <alignment horizontal="center" vertical="center"/>
    </xf>
    <xf numFmtId="3" fontId="0" fillId="0" borderId="1" xfId="0" applyNumberFormat="1" applyBorder="1" applyAlignment="1">
      <alignment horizontal="center" vertical="center"/>
    </xf>
    <xf numFmtId="0" fontId="3" fillId="0" borderId="0" xfId="0" applyFont="1"/>
    <xf numFmtId="0" fontId="0" fillId="0" borderId="1" xfId="0" applyBorder="1" applyAlignment="1">
      <alignment wrapText="1"/>
    </xf>
    <xf numFmtId="0" fontId="0" fillId="0" borderId="9" xfId="0" applyBorder="1"/>
    <xf numFmtId="0" fontId="0" fillId="0" borderId="5" xfId="0" applyBorder="1"/>
    <xf numFmtId="0" fontId="1" fillId="0" borderId="8"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center"/>
    </xf>
    <xf numFmtId="0" fontId="0" fillId="0" borderId="4" xfId="0" applyBorder="1"/>
    <xf numFmtId="0" fontId="0" fillId="0" borderId="2" xfId="0" applyBorder="1"/>
    <xf numFmtId="0" fontId="0" fillId="0" borderId="2" xfId="0" applyBorder="1" applyAlignment="1">
      <alignment wrapText="1"/>
    </xf>
    <xf numFmtId="0" fontId="4" fillId="0" borderId="5" xfId="0" applyFont="1" applyBorder="1"/>
    <xf numFmtId="0" fontId="4" fillId="0" borderId="7" xfId="0" applyFont="1" applyBorder="1"/>
    <xf numFmtId="0" fontId="5" fillId="0" borderId="5" xfId="0" applyFont="1" applyBorder="1"/>
    <xf numFmtId="0" fontId="5" fillId="0" borderId="1" xfId="0" applyFont="1" applyBorder="1"/>
    <xf numFmtId="0" fontId="6" fillId="2" borderId="11" xfId="0" applyFont="1" applyFill="1" applyBorder="1" applyAlignment="1">
      <alignment horizontal="center"/>
    </xf>
    <xf numFmtId="0" fontId="6" fillId="2" borderId="14" xfId="0" applyFont="1" applyFill="1" applyBorder="1" applyAlignment="1">
      <alignment horizontal="center"/>
    </xf>
    <xf numFmtId="0" fontId="6" fillId="2" borderId="10" xfId="0" applyFont="1" applyFill="1" applyBorder="1" applyAlignment="1">
      <alignment horizontal="center"/>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wrapText="1"/>
    </xf>
    <xf numFmtId="0" fontId="0" fillId="0" borderId="12"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5"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5" fillId="0" borderId="1" xfId="0" applyFont="1" applyBorder="1" applyAlignment="1">
      <alignment horizontal="center" vertical="center"/>
    </xf>
    <xf numFmtId="0" fontId="0" fillId="0" borderId="12" xfId="0"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7" fillId="4" borderId="1" xfId="1" applyBorder="1" applyAlignment="1">
      <alignment horizontal="center" vertical="center"/>
    </xf>
    <xf numFmtId="0" fontId="8" fillId="5" borderId="1" xfId="2" applyBorder="1" applyAlignment="1">
      <alignment horizontal="center" vertical="center"/>
    </xf>
    <xf numFmtId="0" fontId="7" fillId="4" borderId="3" xfId="1" applyBorder="1" applyAlignment="1">
      <alignment horizontal="center" vertical="center"/>
    </xf>
    <xf numFmtId="0" fontId="7" fillId="4" borderId="0" xfId="1"/>
    <xf numFmtId="0" fontId="8" fillId="5" borderId="0" xfId="2"/>
    <xf numFmtId="0" fontId="8" fillId="5" borderId="5" xfId="2" applyBorder="1" applyAlignment="1">
      <alignment horizontal="center" vertical="center"/>
    </xf>
    <xf numFmtId="0" fontId="8" fillId="5" borderId="9" xfId="2" applyBorder="1" applyAlignment="1">
      <alignment horizontal="center" vertical="center"/>
    </xf>
    <xf numFmtId="0" fontId="8" fillId="5" borderId="20" xfId="2" applyBorder="1" applyAlignment="1">
      <alignment horizontal="center" vertical="center"/>
    </xf>
    <xf numFmtId="0" fontId="8" fillId="5" borderId="2" xfId="2" applyBorder="1" applyAlignment="1">
      <alignment horizontal="center" vertical="center"/>
    </xf>
    <xf numFmtId="0" fontId="7" fillId="6" borderId="1" xfId="1" applyFill="1" applyBorder="1" applyAlignment="1">
      <alignment horizontal="center" vertical="center"/>
    </xf>
    <xf numFmtId="0" fontId="0" fillId="8" borderId="0" xfId="0" applyFill="1"/>
    <xf numFmtId="0" fontId="0" fillId="8" borderId="0" xfId="0" applyFill="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1" fillId="8" borderId="0" xfId="5" applyFill="1"/>
    <xf numFmtId="0" fontId="11" fillId="3" borderId="2" xfId="5" applyFill="1" applyBorder="1" applyAlignment="1">
      <alignment horizontal="center" vertical="center" wrapText="1"/>
    </xf>
    <xf numFmtId="0" fontId="12" fillId="2" borderId="10" xfId="3" applyFont="1" applyFill="1" applyBorder="1" applyAlignment="1">
      <alignment horizontal="center"/>
    </xf>
    <xf numFmtId="0" fontId="12" fillId="2" borderId="11" xfId="3" applyFont="1" applyFill="1" applyBorder="1" applyAlignment="1">
      <alignment horizontal="center"/>
    </xf>
    <xf numFmtId="0" fontId="11" fillId="3" borderId="1" xfId="5" applyFill="1" applyBorder="1" applyAlignment="1">
      <alignment horizontal="center" vertical="center" wrapText="1"/>
    </xf>
    <xf numFmtId="0" fontId="0" fillId="7" borderId="23" xfId="4" applyFont="1" applyBorder="1" applyAlignment="1"/>
    <xf numFmtId="0" fontId="14" fillId="9" borderId="21" xfId="0" applyFont="1" applyFill="1" applyBorder="1" applyAlignment="1">
      <alignment horizontal="center" vertical="center"/>
    </xf>
    <xf numFmtId="0" fontId="15" fillId="10" borderId="31" xfId="0" applyFont="1" applyFill="1" applyBorder="1" applyAlignment="1">
      <alignment horizontal="center" vertical="center" wrapText="1"/>
    </xf>
    <xf numFmtId="0" fontId="15" fillId="10" borderId="33"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3" xfId="0" applyFont="1" applyBorder="1" applyAlignment="1">
      <alignment horizontal="center" vertical="center" wrapText="1"/>
    </xf>
    <xf numFmtId="0" fontId="15" fillId="12" borderId="1" xfId="0" applyFont="1" applyFill="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xf>
    <xf numFmtId="15" fontId="16" fillId="0" borderId="1" xfId="0" applyNumberFormat="1" applyFont="1" applyBorder="1" applyAlignment="1">
      <alignment horizontal="center"/>
    </xf>
    <xf numFmtId="0" fontId="11" fillId="0" borderId="1" xfId="5" applyBorder="1" applyAlignment="1">
      <alignment horizontal="center"/>
    </xf>
    <xf numFmtId="0" fontId="20" fillId="8" borderId="1" xfId="6" applyFont="1" applyFill="1" applyBorder="1" applyAlignment="1">
      <alignment horizontal="center" vertical="center" wrapText="1"/>
    </xf>
    <xf numFmtId="0" fontId="20" fillId="8" borderId="5" xfId="6" applyFont="1" applyFill="1" applyBorder="1" applyAlignment="1">
      <alignment horizontal="center" vertical="center" wrapText="1"/>
    </xf>
    <xf numFmtId="0" fontId="16" fillId="0" borderId="5" xfId="0" applyFont="1" applyBorder="1" applyAlignment="1">
      <alignment horizontal="center"/>
    </xf>
    <xf numFmtId="0" fontId="16" fillId="0" borderId="1" xfId="0" applyFont="1" applyBorder="1"/>
    <xf numFmtId="0" fontId="16" fillId="0" borderId="7" xfId="0" applyFont="1" applyBorder="1" applyAlignment="1">
      <alignment horizontal="center"/>
    </xf>
    <xf numFmtId="0" fontId="11" fillId="0" borderId="9" xfId="5" applyBorder="1"/>
    <xf numFmtId="15" fontId="16" fillId="0" borderId="2" xfId="0" applyNumberFormat="1" applyFont="1" applyBorder="1" applyAlignment="1">
      <alignment horizontal="center"/>
    </xf>
    <xf numFmtId="0" fontId="16" fillId="0" borderId="2" xfId="0" applyFont="1" applyBorder="1" applyAlignment="1">
      <alignment horizontal="center"/>
    </xf>
    <xf numFmtId="0" fontId="11" fillId="0" borderId="1" xfId="5" applyBorder="1"/>
    <xf numFmtId="0" fontId="11" fillId="0" borderId="4" xfId="5" applyBorder="1"/>
    <xf numFmtId="0" fontId="11" fillId="0" borderId="3" xfId="5" applyBorder="1"/>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0" fontId="11" fillId="0" borderId="1" xfId="5" applyBorder="1" applyAlignment="1">
      <alignment horizontal="center" vertical="center"/>
    </xf>
    <xf numFmtId="0" fontId="11" fillId="0" borderId="9" xfId="5" applyBorder="1" applyAlignment="1">
      <alignment horizontal="center"/>
    </xf>
    <xf numFmtId="15" fontId="16" fillId="0" borderId="5" xfId="0" applyNumberFormat="1" applyFont="1" applyBorder="1" applyAlignment="1">
      <alignment horizontal="center"/>
    </xf>
    <xf numFmtId="15" fontId="16" fillId="0" borderId="7" xfId="0" applyNumberFormat="1" applyFont="1" applyBorder="1" applyAlignment="1">
      <alignment horizontal="center"/>
    </xf>
    <xf numFmtId="0" fontId="17" fillId="13" borderId="34" xfId="0" applyFont="1" applyFill="1" applyBorder="1"/>
    <xf numFmtId="165" fontId="18" fillId="13" borderId="34" xfId="0" applyNumberFormat="1" applyFont="1" applyFill="1" applyBorder="1"/>
    <xf numFmtId="164" fontId="19" fillId="13" borderId="34" xfId="0" applyNumberFormat="1" applyFont="1" applyFill="1" applyBorder="1"/>
    <xf numFmtId="0" fontId="16" fillId="0" borderId="34" xfId="0" applyFont="1" applyBorder="1"/>
    <xf numFmtId="0" fontId="0" fillId="0" borderId="34" xfId="0" applyBorder="1"/>
    <xf numFmtId="0" fontId="15" fillId="10" borderId="2" xfId="0" applyFont="1" applyFill="1" applyBorder="1" applyAlignment="1">
      <alignment horizontal="center" vertical="center" wrapText="1"/>
    </xf>
    <xf numFmtId="0" fontId="15" fillId="10" borderId="15"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0" fillId="0" borderId="26" xfId="0" applyBorder="1" applyAlignment="1">
      <alignment horizontal="center" vertical="center" wrapText="1"/>
    </xf>
    <xf numFmtId="0" fontId="0" fillId="8" borderId="1" xfId="0" applyFill="1" applyBorder="1"/>
    <xf numFmtId="0" fontId="0" fillId="0" borderId="1" xfId="0" applyBorder="1" applyAlignment="1">
      <alignment horizontal="center"/>
    </xf>
    <xf numFmtId="0" fontId="0" fillId="0" borderId="0" xfId="0" applyAlignment="1">
      <alignment horizontal="center"/>
    </xf>
    <xf numFmtId="0" fontId="23" fillId="3" borderId="1" xfId="5" applyFont="1" applyFill="1" applyBorder="1" applyAlignment="1">
      <alignment horizontal="center" vertical="center" wrapText="1"/>
    </xf>
    <xf numFmtId="0" fontId="0" fillId="0" borderId="0" xfId="0" applyAlignment="1">
      <alignment horizontal="left"/>
    </xf>
    <xf numFmtId="0" fontId="0" fillId="0" borderId="1" xfId="0" applyBorder="1" applyAlignment="1">
      <alignment horizontal="left"/>
    </xf>
    <xf numFmtId="0" fontId="22" fillId="14" borderId="35" xfId="7" applyAlignment="1">
      <alignment horizontal="center"/>
    </xf>
    <xf numFmtId="0" fontId="22" fillId="14" borderId="35" xfId="7" applyAlignment="1">
      <alignment horizontal="center" vertical="center"/>
    </xf>
    <xf numFmtId="0" fontId="9" fillId="15" borderId="1" xfId="8" applyBorder="1" applyAlignment="1">
      <alignment horizontal="center" vertical="center"/>
    </xf>
    <xf numFmtId="0" fontId="0" fillId="0" borderId="1" xfId="0" applyBorder="1" applyAlignment="1">
      <alignment vertical="center"/>
    </xf>
    <xf numFmtId="0" fontId="22" fillId="14" borderId="35" xfId="7" applyAlignment="1">
      <alignment vertical="center"/>
    </xf>
    <xf numFmtId="0" fontId="22" fillId="14" borderId="35" xfId="7" applyAlignment="1">
      <alignment horizontal="left" vertical="center"/>
    </xf>
    <xf numFmtId="0" fontId="22" fillId="14" borderId="37" xfId="7" applyBorder="1" applyAlignment="1">
      <alignment horizontal="center" vertical="center"/>
    </xf>
    <xf numFmtId="0" fontId="1" fillId="3" borderId="5" xfId="0" applyFont="1" applyFill="1" applyBorder="1" applyAlignment="1">
      <alignment horizontal="center" vertical="center" wrapText="1"/>
    </xf>
    <xf numFmtId="0" fontId="0" fillId="0" borderId="5" xfId="0" applyBorder="1" applyAlignment="1">
      <alignment vertical="center"/>
    </xf>
    <xf numFmtId="0" fontId="22" fillId="14" borderId="38" xfId="7" applyBorder="1" applyAlignment="1">
      <alignment vertical="center"/>
    </xf>
    <xf numFmtId="0" fontId="0" fillId="0" borderId="5" xfId="0" applyBorder="1" applyAlignment="1">
      <alignment horizontal="left" vertical="center"/>
    </xf>
    <xf numFmtId="0" fontId="22" fillId="14" borderId="38" xfId="7" applyBorder="1" applyAlignment="1">
      <alignment horizontal="left" vertical="center"/>
    </xf>
    <xf numFmtId="0" fontId="22" fillId="14" borderId="38" xfId="7" applyBorder="1" applyAlignment="1">
      <alignment horizontal="center" vertical="center"/>
    </xf>
    <xf numFmtId="0" fontId="22" fillId="14" borderId="1" xfId="7" applyBorder="1" applyAlignment="1">
      <alignment vertical="center"/>
    </xf>
    <xf numFmtId="0" fontId="0" fillId="0" borderId="3" xfId="0" applyBorder="1" applyAlignment="1">
      <alignment horizontal="center" vertical="center"/>
    </xf>
    <xf numFmtId="0" fontId="0" fillId="0" borderId="2" xfId="0" applyBorder="1" applyAlignment="1">
      <alignment horizontal="center" vertical="center"/>
    </xf>
    <xf numFmtId="0" fontId="9" fillId="15" borderId="2" xfId="8" applyBorder="1" applyAlignment="1">
      <alignment horizontal="center" vertical="center"/>
    </xf>
    <xf numFmtId="0" fontId="8" fillId="5" borderId="35" xfId="2" applyBorder="1" applyAlignment="1">
      <alignment horizontal="center" vertical="center"/>
    </xf>
    <xf numFmtId="0" fontId="0" fillId="15" borderId="1" xfId="8" applyFont="1" applyBorder="1" applyAlignment="1">
      <alignment vertical="center"/>
    </xf>
    <xf numFmtId="0" fontId="24" fillId="14" borderId="39" xfId="9" applyAlignment="1">
      <alignment horizontal="center" vertical="center"/>
    </xf>
    <xf numFmtId="0" fontId="24" fillId="14" borderId="39" xfId="9" applyAlignment="1">
      <alignment vertical="center"/>
    </xf>
    <xf numFmtId="0" fontId="8" fillId="5" borderId="42" xfId="2" applyBorder="1" applyAlignment="1">
      <alignment horizontal="center" vertical="center"/>
    </xf>
    <xf numFmtId="0" fontId="0" fillId="0" borderId="1" xfId="0" applyBorder="1" applyAlignment="1">
      <alignment horizontal="left" vertical="center" indent="1"/>
    </xf>
    <xf numFmtId="0" fontId="7" fillId="4" borderId="1" xfId="1" applyBorder="1"/>
    <xf numFmtId="0" fontId="1" fillId="3" borderId="5" xfId="0" applyFont="1" applyFill="1" applyBorder="1" applyAlignment="1">
      <alignment horizontal="center" vertical="center"/>
    </xf>
    <xf numFmtId="0" fontId="0" fillId="0" borderId="1" xfId="0" applyBorder="1" applyAlignment="1">
      <alignment horizontal="left" vertical="center" wrapText="1" indent="1"/>
    </xf>
    <xf numFmtId="0" fontId="7" fillId="4" borderId="2" xfId="1" applyBorder="1" applyAlignment="1">
      <alignment horizontal="center" vertical="center"/>
    </xf>
    <xf numFmtId="0" fontId="0" fillId="15" borderId="1" xfId="8" applyFont="1" applyBorder="1" applyAlignment="1">
      <alignment horizontal="center" vertical="center" wrapText="1"/>
    </xf>
    <xf numFmtId="0" fontId="0" fillId="0" borderId="2" xfId="0" applyBorder="1" applyAlignment="1">
      <alignment horizontal="left" vertical="center" wrapText="1" indent="1"/>
    </xf>
    <xf numFmtId="0" fontId="0" fillId="0" borderId="15" xfId="0" applyBorder="1" applyAlignment="1">
      <alignment horizontal="center" vertical="center"/>
    </xf>
    <xf numFmtId="0" fontId="9" fillId="15" borderId="1" xfId="8" applyBorder="1" applyAlignment="1">
      <alignment horizontal="center" vertical="top" wrapText="1"/>
    </xf>
    <xf numFmtId="0" fontId="0" fillId="15" borderId="5" xfId="8" applyFont="1" applyBorder="1" applyAlignment="1">
      <alignment horizontal="center" vertical="center" wrapText="1"/>
    </xf>
    <xf numFmtId="0" fontId="0" fillId="15" borderId="5" xfId="8" applyFont="1" applyBorder="1" applyAlignment="1">
      <alignment horizontal="center" vertical="center"/>
    </xf>
    <xf numFmtId="0" fontId="0" fillId="0" borderId="0" xfId="0" applyAlignment="1">
      <alignment vertical="center" wrapText="1"/>
    </xf>
    <xf numFmtId="0" fontId="0" fillId="0" borderId="1" xfId="0" applyBorder="1" applyAlignment="1">
      <alignment horizontal="left" vertical="center" indent="2"/>
    </xf>
    <xf numFmtId="0" fontId="0" fillId="0" borderId="0" xfId="0" applyAlignment="1">
      <alignment horizontal="left" indent="1"/>
    </xf>
    <xf numFmtId="0" fontId="0" fillId="0" borderId="0" xfId="0" applyAlignment="1">
      <alignment horizontal="left" wrapText="1" indent="1"/>
    </xf>
    <xf numFmtId="0" fontId="27" fillId="0" borderId="1" xfId="0" applyFont="1" applyBorder="1" applyAlignment="1">
      <alignment horizontal="left" vertical="center" wrapText="1" indent="1"/>
    </xf>
    <xf numFmtId="0" fontId="0" fillId="15" borderId="1" xfId="8" applyFont="1" applyBorder="1" applyAlignment="1">
      <alignment horizontal="left" vertical="center" wrapText="1"/>
    </xf>
    <xf numFmtId="0" fontId="0" fillId="15" borderId="1" xfId="8" applyFont="1" applyBorder="1" applyAlignment="1">
      <alignment horizontal="left" vertical="center"/>
    </xf>
    <xf numFmtId="0" fontId="28" fillId="0" borderId="1" xfId="0" applyFont="1" applyBorder="1" applyAlignment="1">
      <alignment horizontal="left" vertical="center" wrapText="1"/>
    </xf>
    <xf numFmtId="0" fontId="28" fillId="0" borderId="0" xfId="0" applyFont="1"/>
    <xf numFmtId="0" fontId="28" fillId="15" borderId="1" xfId="8" applyFont="1" applyBorder="1" applyAlignment="1">
      <alignment horizontal="left" vertical="center"/>
    </xf>
    <xf numFmtId="0" fontId="28" fillId="0" borderId="1" xfId="0" applyFont="1" applyBorder="1"/>
    <xf numFmtId="0" fontId="28" fillId="0" borderId="1" xfId="0" applyFont="1" applyBorder="1" applyAlignment="1">
      <alignment horizontal="center" vertical="center"/>
    </xf>
    <xf numFmtId="0" fontId="29" fillId="0" borderId="1" xfId="0" applyFont="1" applyBorder="1" applyAlignment="1">
      <alignment horizontal="left" vertical="center" wrapText="1"/>
    </xf>
    <xf numFmtId="0" fontId="8" fillId="5" borderId="1" xfId="2" applyBorder="1" applyAlignment="1">
      <alignment horizontal="left" vertical="center"/>
    </xf>
    <xf numFmtId="0" fontId="0" fillId="0" borderId="15" xfId="0" applyBorder="1"/>
    <xf numFmtId="0" fontId="0" fillId="17" borderId="1" xfId="0" applyFill="1" applyBorder="1" applyAlignment="1">
      <alignment horizontal="center" vertical="center"/>
    </xf>
    <xf numFmtId="0" fontId="0" fillId="17" borderId="1" xfId="0" applyFill="1" applyBorder="1" applyAlignment="1">
      <alignment horizontal="left" vertical="center" wrapText="1"/>
    </xf>
    <xf numFmtId="0" fontId="28" fillId="17" borderId="1" xfId="0" applyFont="1" applyFill="1" applyBorder="1" applyAlignment="1">
      <alignment horizontal="center" vertical="center"/>
    </xf>
    <xf numFmtId="0" fontId="29" fillId="15" borderId="1" xfId="8" applyFont="1" applyBorder="1" applyAlignment="1">
      <alignment horizontal="left" vertical="center"/>
    </xf>
    <xf numFmtId="0" fontId="29" fillId="15" borderId="1" xfId="8" applyFont="1" applyBorder="1" applyAlignment="1">
      <alignment horizontal="left" vertical="center" wrapText="1"/>
    </xf>
    <xf numFmtId="0" fontId="1" fillId="0" borderId="1" xfId="0" applyFont="1" applyBorder="1" applyAlignment="1">
      <alignment horizontal="center" vertical="center"/>
    </xf>
    <xf numFmtId="0" fontId="1" fillId="0" borderId="0" xfId="0" applyFont="1"/>
    <xf numFmtId="0" fontId="1" fillId="0" borderId="1" xfId="0" applyFont="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30" fillId="3" borderId="1" xfId="0" applyFont="1" applyFill="1" applyBorder="1" applyAlignment="1">
      <alignment horizontal="left" vertical="center" wrapText="1" indent="1"/>
    </xf>
    <xf numFmtId="0" fontId="31" fillId="0" borderId="0" xfId="0" applyFont="1" applyAlignment="1">
      <alignment horizontal="left" wrapText="1" indent="1"/>
    </xf>
    <xf numFmtId="0" fontId="0" fillId="0" borderId="1" xfId="0" applyBorder="1" applyAlignment="1">
      <alignment vertical="center" wrapText="1"/>
    </xf>
    <xf numFmtId="3" fontId="0" fillId="0" borderId="7" xfId="0" applyNumberFormat="1" applyBorder="1"/>
    <xf numFmtId="0" fontId="28" fillId="0" borderId="9" xfId="0" applyFont="1" applyBorder="1"/>
    <xf numFmtId="0" fontId="0" fillId="0" borderId="0" xfId="0" applyAlignment="1">
      <alignment horizontal="left" vertical="center"/>
    </xf>
    <xf numFmtId="0" fontId="29" fillId="0" borderId="0" xfId="0" applyFont="1" applyAlignment="1">
      <alignment horizontal="left" vertical="center"/>
    </xf>
    <xf numFmtId="0" fontId="29" fillId="0" borderId="0" xfId="0" applyFont="1" applyAlignment="1">
      <alignment horizontal="left" vertical="center" wrapText="1"/>
    </xf>
    <xf numFmtId="0" fontId="0" fillId="0" borderId="0" xfId="0" applyAlignment="1">
      <alignment horizontal="left" vertical="center" wrapText="1"/>
    </xf>
    <xf numFmtId="0" fontId="28" fillId="0" borderId="0" xfId="0" applyFont="1" applyAlignment="1">
      <alignment horizontal="left" vertical="center"/>
    </xf>
    <xf numFmtId="0" fontId="28" fillId="0" borderId="0" xfId="0" applyFont="1" applyAlignment="1">
      <alignment horizontal="center" vertical="center"/>
    </xf>
    <xf numFmtId="0" fontId="28" fillId="0" borderId="0" xfId="0" applyFont="1" applyAlignment="1">
      <alignment horizontal="left" vertical="center" wrapText="1"/>
    </xf>
    <xf numFmtId="0" fontId="0" fillId="8" borderId="0" xfId="0" applyFill="1" applyAlignment="1">
      <alignment horizontal="left" vertical="center"/>
    </xf>
    <xf numFmtId="0" fontId="28" fillId="8" borderId="0" xfId="0" applyFont="1" applyFill="1" applyAlignment="1">
      <alignment horizontal="center" vertical="center"/>
    </xf>
    <xf numFmtId="0" fontId="28" fillId="8" borderId="0" xfId="0" applyFont="1" applyFill="1" applyAlignment="1">
      <alignment horizontal="left" vertical="center" wrapText="1"/>
    </xf>
    <xf numFmtId="0" fontId="32" fillId="0" borderId="0" xfId="0" applyFont="1"/>
    <xf numFmtId="0" fontId="32" fillId="0" borderId="0" xfId="0" applyFont="1" applyAlignment="1">
      <alignment horizontal="left" vertical="center"/>
    </xf>
    <xf numFmtId="0" fontId="32" fillId="0" borderId="9" xfId="0" applyFont="1" applyBorder="1"/>
    <xf numFmtId="0" fontId="25" fillId="19" borderId="0" xfId="12" applyAlignment="1">
      <alignment horizontal="center" vertical="center"/>
    </xf>
    <xf numFmtId="0" fontId="25" fillId="19" borderId="0" xfId="12" applyAlignment="1">
      <alignment horizontal="left" vertical="center"/>
    </xf>
    <xf numFmtId="0" fontId="25" fillId="19" borderId="9" xfId="12" applyBorder="1" applyAlignment="1">
      <alignment horizontal="center" vertical="center"/>
    </xf>
    <xf numFmtId="0" fontId="25" fillId="19" borderId="0" xfId="12"/>
    <xf numFmtId="0" fontId="9" fillId="15" borderId="1" xfId="8" applyBorder="1" applyAlignment="1">
      <alignment horizontal="center" vertical="center" wrapText="1"/>
    </xf>
    <xf numFmtId="0" fontId="0" fillId="0" borderId="2" xfId="0" applyBorder="1" applyAlignment="1">
      <alignment vertical="center" wrapText="1"/>
    </xf>
    <xf numFmtId="0" fontId="8" fillId="5" borderId="1" xfId="2" applyBorder="1" applyAlignment="1">
      <alignment horizontal="center" vertical="center" wrapText="1"/>
    </xf>
    <xf numFmtId="0" fontId="7" fillId="4" borderId="1" xfId="1" applyBorder="1" applyAlignment="1">
      <alignment horizontal="center" vertical="center" wrapText="1"/>
    </xf>
    <xf numFmtId="0" fontId="29" fillId="8" borderId="1" xfId="1" applyFont="1" applyFill="1" applyBorder="1" applyAlignment="1">
      <alignment horizontal="center" vertical="center"/>
    </xf>
    <xf numFmtId="0" fontId="29" fillId="8" borderId="1" xfId="1" applyFont="1" applyFill="1" applyBorder="1" applyAlignment="1">
      <alignment vertical="center" wrapText="1"/>
    </xf>
    <xf numFmtId="0" fontId="29" fillId="8" borderId="1" xfId="1" applyFont="1" applyFill="1" applyBorder="1" applyAlignment="1">
      <alignment horizontal="center" vertical="center" wrapText="1"/>
    </xf>
    <xf numFmtId="0" fontId="29" fillId="8" borderId="2" xfId="1" applyFont="1" applyFill="1" applyBorder="1" applyAlignment="1">
      <alignment horizontal="center" vertical="center"/>
    </xf>
    <xf numFmtId="0" fontId="29" fillId="8" borderId="2" xfId="1" applyFont="1" applyFill="1" applyBorder="1" applyAlignment="1">
      <alignment vertical="center" wrapText="1"/>
    </xf>
    <xf numFmtId="0" fontId="29" fillId="8" borderId="2" xfId="1" applyFont="1" applyFill="1" applyBorder="1" applyAlignment="1">
      <alignment horizontal="center" vertical="center" wrapText="1"/>
    </xf>
    <xf numFmtId="0" fontId="0" fillId="18" borderId="1" xfId="11" applyFont="1" applyBorder="1" applyAlignment="1">
      <alignment horizontal="center" vertical="center" wrapText="1"/>
    </xf>
    <xf numFmtId="3" fontId="0" fillId="0" borderId="7" xfId="0" applyNumberFormat="1" applyBorder="1" applyAlignment="1">
      <alignment wrapText="1"/>
    </xf>
    <xf numFmtId="0" fontId="7" fillId="0" borderId="1" xfId="1" applyFill="1" applyBorder="1" applyAlignment="1">
      <alignment horizontal="center" vertical="center"/>
    </xf>
    <xf numFmtId="0" fontId="7" fillId="0" borderId="1" xfId="1" applyFill="1" applyBorder="1" applyAlignment="1">
      <alignment vertical="center" wrapText="1"/>
    </xf>
    <xf numFmtId="0" fontId="7" fillId="0" borderId="1" xfId="1" applyFill="1" applyBorder="1" applyAlignment="1">
      <alignment horizontal="center" vertical="center" wrapText="1"/>
    </xf>
    <xf numFmtId="0" fontId="7" fillId="0" borderId="9" xfId="1" applyFill="1" applyBorder="1" applyAlignment="1">
      <alignment horizontal="center" vertical="center"/>
    </xf>
    <xf numFmtId="0" fontId="0" fillId="0" borderId="9" xfId="0" applyBorder="1" applyAlignment="1">
      <alignment horizontal="center" vertical="center"/>
    </xf>
    <xf numFmtId="0" fontId="0" fillId="15" borderId="1" xfId="8" applyFont="1" applyBorder="1" applyAlignment="1">
      <alignment horizontal="center" vertical="center"/>
    </xf>
    <xf numFmtId="0" fontId="0" fillId="0" borderId="1" xfId="0" applyBorder="1" applyAlignment="1">
      <alignment horizontal="center" vertical="top" wrapText="1"/>
    </xf>
    <xf numFmtId="0" fontId="0" fillId="0" borderId="0" xfId="0" applyAlignment="1">
      <alignment horizontal="center" vertical="center" wrapText="1"/>
    </xf>
    <xf numFmtId="0" fontId="29" fillId="0" borderId="1" xfId="1" applyFont="1" applyFill="1" applyBorder="1" applyAlignment="1">
      <alignment horizontal="center" vertical="center"/>
    </xf>
    <xf numFmtId="0" fontId="29" fillId="0" borderId="1" xfId="1" applyFont="1" applyFill="1" applyBorder="1" applyAlignment="1">
      <alignment horizontal="center" vertical="center" wrapText="1"/>
    </xf>
    <xf numFmtId="0" fontId="1" fillId="0" borderId="0" xfId="0" applyFont="1" applyAlignment="1">
      <alignment vertical="center"/>
    </xf>
    <xf numFmtId="0" fontId="7" fillId="4" borderId="50" xfId="1" applyBorder="1"/>
    <xf numFmtId="0" fontId="7" fillId="4" borderId="48" xfId="1" applyBorder="1" applyAlignment="1">
      <alignment horizontal="center" vertical="center"/>
    </xf>
    <xf numFmtId="0" fontId="6" fillId="20" borderId="51" xfId="13" applyBorder="1" applyAlignment="1">
      <alignment horizontal="left" vertical="center"/>
    </xf>
    <xf numFmtId="0" fontId="6" fillId="20" borderId="52" xfId="13" applyBorder="1" applyAlignment="1">
      <alignment horizontal="center" vertical="center"/>
    </xf>
    <xf numFmtId="0" fontId="6" fillId="20" borderId="53" xfId="13" applyBorder="1" applyAlignment="1">
      <alignment horizontal="center" vertical="center"/>
    </xf>
    <xf numFmtId="0" fontId="6" fillId="20" borderId="45" xfId="13"/>
    <xf numFmtId="0" fontId="6" fillId="20" borderId="45" xfId="13" applyAlignment="1">
      <alignment horizontal="center" vertical="center"/>
    </xf>
    <xf numFmtId="0" fontId="7" fillId="4" borderId="56" xfId="1" applyBorder="1"/>
    <xf numFmtId="0" fontId="7" fillId="4" borderId="57" xfId="1" applyBorder="1" applyAlignment="1">
      <alignment horizontal="center" vertical="center"/>
    </xf>
    <xf numFmtId="0" fontId="7" fillId="4" borderId="58" xfId="1" applyBorder="1" applyAlignment="1">
      <alignment horizontal="center" vertical="center"/>
    </xf>
    <xf numFmtId="0" fontId="7" fillId="4" borderId="33" xfId="1" applyBorder="1"/>
    <xf numFmtId="0" fontId="7" fillId="4" borderId="61" xfId="1" applyBorder="1" applyAlignment="1">
      <alignment horizontal="center" vertical="center"/>
    </xf>
    <xf numFmtId="0" fontId="6" fillId="20" borderId="1" xfId="13" applyBorder="1" applyAlignment="1">
      <alignment horizontal="center" vertical="center"/>
    </xf>
    <xf numFmtId="0" fontId="6" fillId="20" borderId="48" xfId="13" applyBorder="1" applyAlignment="1">
      <alignment horizontal="center" vertical="center"/>
    </xf>
    <xf numFmtId="0" fontId="6" fillId="20" borderId="50" xfId="13" applyBorder="1"/>
    <xf numFmtId="0" fontId="6" fillId="20" borderId="33" xfId="13" applyBorder="1" applyAlignment="1">
      <alignment horizontal="left" vertical="top"/>
    </xf>
    <xf numFmtId="0" fontId="6" fillId="20" borderId="3" xfId="13" applyBorder="1" applyAlignment="1">
      <alignment horizontal="center" vertical="center"/>
    </xf>
    <xf numFmtId="0" fontId="6" fillId="20" borderId="61" xfId="13" applyBorder="1" applyAlignment="1">
      <alignment horizontal="center" vertical="center"/>
    </xf>
    <xf numFmtId="0" fontId="0" fillId="15" borderId="4" xfId="8" applyFont="1" applyBorder="1" applyAlignment="1">
      <alignment horizontal="center" vertical="center"/>
    </xf>
    <xf numFmtId="0" fontId="0" fillId="15" borderId="2" xfId="8" applyFont="1" applyBorder="1" applyAlignment="1">
      <alignment horizontal="center" vertical="center" wrapText="1"/>
    </xf>
    <xf numFmtId="0" fontId="0" fillId="15" borderId="69" xfId="8" applyFont="1" applyBorder="1" applyAlignment="1">
      <alignment horizontal="center" vertical="center" wrapText="1"/>
    </xf>
    <xf numFmtId="0" fontId="25" fillId="19" borderId="1" xfId="12" applyBorder="1" applyAlignment="1">
      <alignment horizontal="center" vertical="center"/>
    </xf>
    <xf numFmtId="0" fontId="25" fillId="19" borderId="1" xfId="12" applyBorder="1" applyAlignment="1">
      <alignment horizontal="left" vertical="center"/>
    </xf>
    <xf numFmtId="0" fontId="25" fillId="19" borderId="1" xfId="12" applyBorder="1"/>
    <xf numFmtId="0" fontId="28" fillId="0" borderId="1" xfId="0" applyFont="1" applyBorder="1" applyAlignment="1">
      <alignment horizontal="left" vertical="center"/>
    </xf>
    <xf numFmtId="0" fontId="29" fillId="0" borderId="1" xfId="14" applyFont="1" applyFill="1" applyBorder="1" applyAlignment="1">
      <alignment horizontal="center" vertical="center"/>
    </xf>
    <xf numFmtId="0" fontId="29" fillId="0" borderId="1" xfId="14" applyFont="1" applyFill="1" applyBorder="1" applyAlignment="1">
      <alignment horizontal="center" vertical="top" wrapText="1"/>
    </xf>
    <xf numFmtId="0" fontId="29" fillId="0" borderId="1" xfId="14" applyFont="1" applyFill="1" applyBorder="1" applyAlignment="1">
      <alignment horizontal="center" vertical="center" wrapText="1"/>
    </xf>
    <xf numFmtId="0" fontId="29" fillId="0" borderId="1" xfId="14" applyFont="1" applyFill="1" applyBorder="1" applyAlignment="1">
      <alignment horizontal="center"/>
    </xf>
    <xf numFmtId="0" fontId="6" fillId="20" borderId="74" xfId="13" applyBorder="1"/>
    <xf numFmtId="0" fontId="6" fillId="20" borderId="75" xfId="13" applyBorder="1" applyAlignment="1">
      <alignment horizontal="center" vertical="center"/>
    </xf>
    <xf numFmtId="0" fontId="6" fillId="20" borderId="51" xfId="13" applyBorder="1"/>
    <xf numFmtId="0" fontId="6" fillId="20" borderId="76" xfId="13" applyBorder="1"/>
    <xf numFmtId="0" fontId="6" fillId="20" borderId="77" xfId="13" applyBorder="1" applyAlignment="1">
      <alignment horizontal="center" vertical="center"/>
    </xf>
    <xf numFmtId="0" fontId="6" fillId="20" borderId="78" xfId="13" applyBorder="1" applyAlignment="1">
      <alignment horizontal="center" vertical="center"/>
    </xf>
    <xf numFmtId="0" fontId="27" fillId="0" borderId="69" xfId="0" applyFont="1" applyBorder="1" applyAlignment="1">
      <alignment horizontal="left" vertical="center" wrapText="1" indent="1"/>
    </xf>
    <xf numFmtId="0" fontId="0" fillId="0" borderId="19" xfId="0" applyBorder="1" applyAlignment="1">
      <alignment horizontal="center" vertical="center"/>
    </xf>
    <xf numFmtId="0" fontId="9" fillId="0" borderId="1" xfId="11" applyFill="1" applyBorder="1" applyAlignment="1">
      <alignment horizontal="center" vertical="center" wrapText="1"/>
    </xf>
    <xf numFmtId="0" fontId="29" fillId="0" borderId="1" xfId="1" applyFont="1" applyFill="1" applyBorder="1" applyAlignment="1">
      <alignment vertical="center" wrapText="1"/>
    </xf>
    <xf numFmtId="3" fontId="0" fillId="0" borderId="0" xfId="0" applyNumberFormat="1"/>
    <xf numFmtId="0" fontId="29" fillId="0" borderId="2" xfId="1" applyFont="1" applyFill="1" applyBorder="1" applyAlignment="1">
      <alignment horizontal="center" vertical="center"/>
    </xf>
    <xf numFmtId="0" fontId="29" fillId="0" borderId="2" xfId="1" applyFont="1" applyFill="1" applyBorder="1" applyAlignment="1">
      <alignment vertical="center" wrapText="1"/>
    </xf>
    <xf numFmtId="0" fontId="29" fillId="0" borderId="2" xfId="1" applyFont="1" applyFill="1" applyBorder="1" applyAlignment="1">
      <alignment horizontal="center" vertical="center" wrapText="1"/>
    </xf>
    <xf numFmtId="0" fontId="0" fillId="15" borderId="2" xfId="8" applyFont="1" applyBorder="1" applyAlignment="1">
      <alignment horizontal="center" vertical="center"/>
    </xf>
    <xf numFmtId="0" fontId="27" fillId="0" borderId="1"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9" xfId="0" applyBorder="1" applyAlignment="1">
      <alignment horizontal="left" vertical="center" wrapText="1" indent="1"/>
    </xf>
    <xf numFmtId="0" fontId="0" fillId="0" borderId="44" xfId="0" applyBorder="1" applyAlignment="1">
      <alignment horizontal="left" vertical="center" wrapText="1" indent="1"/>
    </xf>
    <xf numFmtId="0" fontId="0" fillId="0" borderId="70" xfId="0" applyBorder="1" applyAlignment="1">
      <alignment horizontal="center" vertical="center"/>
    </xf>
    <xf numFmtId="0" fontId="0" fillId="0" borderId="71" xfId="0" applyBorder="1" applyAlignment="1">
      <alignment horizontal="left" vertical="center" wrapText="1" indent="1"/>
    </xf>
    <xf numFmtId="0" fontId="0" fillId="0" borderId="70" xfId="0" applyBorder="1"/>
    <xf numFmtId="0" fontId="0" fillId="0" borderId="70" xfId="0" applyBorder="1" applyAlignment="1">
      <alignment horizontal="left" vertical="center" indent="1"/>
    </xf>
    <xf numFmtId="0" fontId="0" fillId="0" borderId="3" xfId="0" applyBorder="1" applyAlignment="1">
      <alignment vertical="center"/>
    </xf>
    <xf numFmtId="0" fontId="0" fillId="0" borderId="3" xfId="0" applyBorder="1" applyAlignment="1">
      <alignment vertical="center" wrapText="1"/>
    </xf>
    <xf numFmtId="0" fontId="0" fillId="0" borderId="44" xfId="0" applyBorder="1" applyAlignment="1">
      <alignment horizontal="center" vertical="center"/>
    </xf>
    <xf numFmtId="0" fontId="0" fillId="0" borderId="44" xfId="0" applyBorder="1" applyAlignment="1">
      <alignment horizontal="center" vertical="center" wrapText="1"/>
    </xf>
    <xf numFmtId="0" fontId="0" fillId="0" borderId="2" xfId="0" applyBorder="1" applyAlignment="1">
      <alignment horizontal="left" vertical="center" indent="1"/>
    </xf>
    <xf numFmtId="0" fontId="0" fillId="0" borderId="7" xfId="0" applyBorder="1" applyAlignment="1">
      <alignment horizontal="center" vertical="center"/>
    </xf>
    <xf numFmtId="0" fontId="0" fillId="0" borderId="5" xfId="0" applyBorder="1" applyAlignment="1">
      <alignment horizontal="left" vertical="center" wrapText="1" indent="1"/>
    </xf>
    <xf numFmtId="0" fontId="0" fillId="21" borderId="67" xfId="0" applyFill="1" applyBorder="1" applyAlignment="1">
      <alignment horizontal="center" vertical="center"/>
    </xf>
    <xf numFmtId="0" fontId="0" fillId="0" borderId="72" xfId="0" applyBorder="1" applyAlignment="1">
      <alignment horizontal="left" vertical="center" wrapText="1" indent="1"/>
    </xf>
    <xf numFmtId="0" fontId="0" fillId="0" borderId="70" xfId="0" applyBorder="1" applyAlignment="1">
      <alignment vertical="center"/>
    </xf>
    <xf numFmtId="0" fontId="0" fillId="15" borderId="34" xfId="8" applyFont="1" applyBorder="1" applyAlignment="1">
      <alignment vertical="center"/>
    </xf>
    <xf numFmtId="0" fontId="30" fillId="3" borderId="1" xfId="0" applyFont="1" applyFill="1" applyBorder="1" applyAlignment="1">
      <alignment horizontal="center" vertical="center"/>
    </xf>
    <xf numFmtId="0" fontId="30" fillId="3" borderId="5" xfId="0" applyFont="1" applyFill="1" applyBorder="1" applyAlignment="1">
      <alignment horizontal="center" vertical="center"/>
    </xf>
    <xf numFmtId="0" fontId="42" fillId="3" borderId="1" xfId="5" applyFont="1" applyFill="1" applyBorder="1" applyAlignment="1">
      <alignment horizontal="center" vertical="center" wrapText="1"/>
    </xf>
    <xf numFmtId="0" fontId="30" fillId="3" borderId="5"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31" fillId="0" borderId="0" xfId="0" applyFont="1"/>
    <xf numFmtId="0" fontId="42" fillId="3" borderId="1" xfId="5" applyFont="1" applyFill="1" applyBorder="1" applyAlignment="1">
      <alignment horizontal="left" vertical="center" wrapText="1" indent="1"/>
    </xf>
    <xf numFmtId="0" fontId="0" fillId="0" borderId="69" xfId="0" applyBorder="1" applyAlignment="1">
      <alignment horizontal="center" vertical="center"/>
    </xf>
    <xf numFmtId="0" fontId="0" fillId="21" borderId="70" xfId="0" applyFill="1" applyBorder="1" applyAlignment="1">
      <alignment horizontal="center" vertical="center"/>
    </xf>
    <xf numFmtId="0" fontId="0" fillId="0" borderId="69" xfId="0" applyBorder="1" applyAlignment="1">
      <alignment horizontal="left" vertical="center" indent="1"/>
    </xf>
    <xf numFmtId="0" fontId="0" fillId="0" borderId="68" xfId="0" applyBorder="1" applyAlignment="1">
      <alignment horizontal="center" vertical="center"/>
    </xf>
    <xf numFmtId="0" fontId="0" fillId="21" borderId="73" xfId="0" applyFill="1" applyBorder="1" applyAlignment="1">
      <alignment horizontal="center" vertical="center"/>
    </xf>
    <xf numFmtId="0" fontId="0" fillId="0" borderId="69" xfId="0" applyBorder="1" applyAlignment="1">
      <alignment horizontal="left" vertical="center" wrapText="1" indent="1"/>
    </xf>
    <xf numFmtId="0" fontId="27" fillId="0" borderId="70" xfId="0" applyFont="1" applyBorder="1" applyAlignment="1">
      <alignment horizontal="left" vertical="center" wrapText="1" indent="1"/>
    </xf>
    <xf numFmtId="0" fontId="29" fillId="0" borderId="0" xfId="14" applyFont="1" applyFill="1" applyBorder="1" applyAlignment="1">
      <alignment horizontal="center"/>
    </xf>
    <xf numFmtId="3" fontId="0" fillId="0" borderId="1" xfId="0" applyNumberFormat="1" applyBorder="1"/>
    <xf numFmtId="0" fontId="27" fillId="0" borderId="1" xfId="1" applyFont="1" applyFill="1" applyBorder="1" applyAlignment="1">
      <alignment horizontal="center" vertical="center" wrapText="1"/>
    </xf>
    <xf numFmtId="0" fontId="0" fillId="0" borderId="4" xfId="0"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vertical="center"/>
    </xf>
    <xf numFmtId="0" fontId="5" fillId="0" borderId="2" xfId="0" applyFont="1" applyBorder="1" applyAlignment="1">
      <alignment horizontal="left" vertical="center"/>
    </xf>
    <xf numFmtId="0" fontId="5" fillId="0" borderId="15" xfId="0" applyFont="1" applyBorder="1" applyAlignment="1">
      <alignment horizontal="left" vertical="center"/>
    </xf>
    <xf numFmtId="0" fontId="5" fillId="0" borderId="3" xfId="0" applyFont="1" applyBorder="1" applyAlignment="1">
      <alignment horizontal="left" vertical="center"/>
    </xf>
    <xf numFmtId="0" fontId="0" fillId="0" borderId="2" xfId="0" applyBorder="1" applyAlignment="1">
      <alignment horizontal="left" vertical="center" wrapText="1"/>
    </xf>
    <xf numFmtId="0" fontId="0" fillId="0" borderId="15"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2" xfId="0" applyBorder="1" applyAlignment="1">
      <alignment horizontal="left" vertical="center"/>
    </xf>
    <xf numFmtId="0" fontId="0" fillId="0" borderId="15" xfId="0" applyBorder="1" applyAlignment="1">
      <alignment horizontal="left" vertical="center"/>
    </xf>
    <xf numFmtId="0" fontId="0" fillId="0" borderId="3" xfId="0" applyBorder="1" applyAlignment="1">
      <alignment horizontal="lef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xf>
    <xf numFmtId="0" fontId="7" fillId="4" borderId="2" xfId="1" applyBorder="1" applyAlignment="1">
      <alignment horizontal="center" vertical="center"/>
    </xf>
    <xf numFmtId="0" fontId="7" fillId="4" borderId="15" xfId="1" applyBorder="1" applyAlignment="1">
      <alignment horizontal="center" vertical="center"/>
    </xf>
    <xf numFmtId="0" fontId="7" fillId="4" borderId="3" xfId="1" applyBorder="1" applyAlignment="1">
      <alignment horizontal="center" vertical="center"/>
    </xf>
    <xf numFmtId="0" fontId="0" fillId="0" borderId="5" xfId="0" applyBorder="1" applyAlignment="1">
      <alignment horizontal="center" vertical="center" wrapText="1"/>
    </xf>
    <xf numFmtId="0" fontId="8" fillId="5" borderId="1" xfId="2" applyBorder="1" applyAlignment="1">
      <alignment horizontal="center" vertical="center" wrapText="1"/>
    </xf>
    <xf numFmtId="0" fontId="8" fillId="5" borderId="2" xfId="2" applyBorder="1" applyAlignment="1">
      <alignment horizontal="center" vertical="center"/>
    </xf>
    <xf numFmtId="0" fontId="8" fillId="5" borderId="3" xfId="2" applyBorder="1" applyAlignment="1">
      <alignment horizontal="center" vertical="center"/>
    </xf>
    <xf numFmtId="0" fontId="8" fillId="5" borderId="1" xfId="2" applyBorder="1" applyAlignment="1">
      <alignment horizontal="center" vertical="center"/>
    </xf>
    <xf numFmtId="0" fontId="8" fillId="5" borderId="15" xfId="2" applyBorder="1" applyAlignment="1">
      <alignment horizontal="center" vertical="center"/>
    </xf>
    <xf numFmtId="0" fontId="8" fillId="5" borderId="2" xfId="2" applyBorder="1" applyAlignment="1">
      <alignment horizontal="center" vertical="center" wrapText="1"/>
    </xf>
    <xf numFmtId="0" fontId="8" fillId="5" borderId="15" xfId="2" applyBorder="1" applyAlignment="1">
      <alignment horizontal="center" vertical="center" wrapText="1"/>
    </xf>
    <xf numFmtId="0" fontId="8" fillId="5" borderId="3" xfId="2" applyBorder="1" applyAlignment="1">
      <alignment horizontal="center" vertical="center" wrapText="1"/>
    </xf>
    <xf numFmtId="0" fontId="0" fillId="0" borderId="7" xfId="0" applyBorder="1" applyAlignment="1">
      <alignment horizontal="center" vertical="center" wrapText="1"/>
    </xf>
    <xf numFmtId="0" fontId="0" fillId="0" borderId="19" xfId="0" applyBorder="1" applyAlignment="1">
      <alignment horizontal="center" vertical="center" wrapText="1"/>
    </xf>
    <xf numFmtId="0" fontId="0" fillId="0" borderId="6" xfId="0" applyBorder="1" applyAlignment="1">
      <alignment horizontal="center" vertical="center" wrapText="1"/>
    </xf>
    <xf numFmtId="0" fontId="7" fillId="4" borderId="1" xfId="1" applyBorder="1" applyAlignment="1">
      <alignment horizontal="center" vertical="center" wrapText="1"/>
    </xf>
    <xf numFmtId="0" fontId="0" fillId="0" borderId="6" xfId="0" applyBorder="1" applyAlignment="1">
      <alignment horizontal="center" vertical="center"/>
    </xf>
    <xf numFmtId="0" fontId="9" fillId="15" borderId="4" xfId="8" applyBorder="1" applyAlignment="1">
      <alignment horizontal="center" vertical="center"/>
    </xf>
    <xf numFmtId="0" fontId="9" fillId="15" borderId="13" xfId="8" applyBorder="1" applyAlignment="1">
      <alignment horizontal="center" vertical="center"/>
    </xf>
    <xf numFmtId="0" fontId="9" fillId="15" borderId="36" xfId="8" applyBorder="1" applyAlignment="1">
      <alignment horizontal="center" vertical="center"/>
    </xf>
    <xf numFmtId="0" fontId="9" fillId="15" borderId="2" xfId="8" applyBorder="1" applyAlignment="1">
      <alignment horizontal="center" vertical="center"/>
    </xf>
    <xf numFmtId="0" fontId="9" fillId="15" borderId="15" xfId="8" applyBorder="1" applyAlignment="1">
      <alignment horizontal="center" vertical="center"/>
    </xf>
    <xf numFmtId="0" fontId="9" fillId="15" borderId="3" xfId="8" applyBorder="1" applyAlignment="1">
      <alignment horizontal="center" vertical="center"/>
    </xf>
    <xf numFmtId="0" fontId="0" fillId="15" borderId="2" xfId="8" applyFont="1" applyBorder="1" applyAlignment="1">
      <alignment horizontal="center" vertical="center"/>
    </xf>
    <xf numFmtId="0" fontId="26" fillId="0" borderId="5" xfId="0" applyFont="1" applyBorder="1" applyAlignment="1">
      <alignment horizontal="center" vertical="center"/>
    </xf>
    <xf numFmtId="0" fontId="26" fillId="0" borderId="44" xfId="0" applyFont="1" applyBorder="1" applyAlignment="1">
      <alignment horizontal="center" vertical="center"/>
    </xf>
    <xf numFmtId="0" fontId="0" fillId="15" borderId="2" xfId="8" applyFont="1" applyBorder="1" applyAlignment="1">
      <alignment horizontal="center" vertical="center" wrapText="1"/>
    </xf>
    <xf numFmtId="0" fontId="0" fillId="15" borderId="3" xfId="8" applyFont="1" applyBorder="1" applyAlignment="1">
      <alignment horizontal="center" vertical="center" wrapText="1"/>
    </xf>
    <xf numFmtId="0" fontId="21" fillId="0" borderId="20" xfId="0" applyFont="1" applyBorder="1" applyAlignment="1">
      <alignment horizontal="center"/>
    </xf>
    <xf numFmtId="0" fontId="16" fillId="0" borderId="20" xfId="0" applyFont="1" applyBorder="1" applyAlignment="1">
      <alignment horizontal="center"/>
    </xf>
    <xf numFmtId="0" fontId="9" fillId="15" borderId="7" xfId="8" applyBorder="1" applyAlignment="1">
      <alignment horizontal="center" vertical="center"/>
    </xf>
    <xf numFmtId="0" fontId="0" fillId="15" borderId="19" xfId="8" applyFont="1" applyBorder="1" applyAlignment="1">
      <alignment horizontal="center" vertical="center"/>
    </xf>
    <xf numFmtId="0" fontId="0" fillId="15" borderId="1" xfId="8" applyFont="1" applyBorder="1" applyAlignment="1">
      <alignment horizontal="center" vertical="center"/>
    </xf>
    <xf numFmtId="0" fontId="0" fillId="0" borderId="50" xfId="0" applyBorder="1" applyAlignment="1">
      <alignment horizontal="center"/>
    </xf>
    <xf numFmtId="0" fontId="0" fillId="0" borderId="1" xfId="0" applyBorder="1" applyAlignment="1">
      <alignment horizontal="center"/>
    </xf>
    <xf numFmtId="0" fontId="0" fillId="0" borderId="48" xfId="0" applyBorder="1" applyAlignment="1">
      <alignment horizontal="center"/>
    </xf>
    <xf numFmtId="0" fontId="0" fillId="0" borderId="65" xfId="0" applyBorder="1"/>
    <xf numFmtId="0" fontId="0" fillId="0" borderId="0" xfId="0"/>
    <xf numFmtId="0" fontId="0" fillId="0" borderId="66" xfId="0" applyBorder="1"/>
    <xf numFmtId="0" fontId="0" fillId="0" borderId="59" xfId="0" applyBorder="1" applyAlignment="1">
      <alignment horizontal="center"/>
    </xf>
    <xf numFmtId="0" fontId="0" fillId="0" borderId="56" xfId="0" applyBorder="1" applyAlignment="1">
      <alignment horizontal="center"/>
    </xf>
    <xf numFmtId="0" fontId="1" fillId="0" borderId="21" xfId="0" applyFont="1" applyBorder="1" applyAlignment="1">
      <alignment horizontal="center" vertical="center"/>
    </xf>
    <xf numFmtId="0" fontId="1" fillId="0" borderId="1" xfId="0" applyFont="1" applyBorder="1" applyAlignment="1">
      <alignment horizontal="center" vertical="center"/>
    </xf>
    <xf numFmtId="0" fontId="40" fillId="0" borderId="47" xfId="0" applyFont="1" applyBorder="1" applyAlignment="1">
      <alignment horizontal="center" vertical="center" wrapText="1"/>
    </xf>
    <xf numFmtId="0" fontId="0" fillId="0" borderId="48" xfId="0" applyBorder="1" applyAlignment="1">
      <alignment horizontal="center" vertical="center" wrapText="1"/>
    </xf>
    <xf numFmtId="0" fontId="1" fillId="0" borderId="57" xfId="0" applyFont="1" applyBorder="1" applyAlignment="1">
      <alignment horizontal="center" vertical="center"/>
    </xf>
    <xf numFmtId="0" fontId="1" fillId="0" borderId="48" xfId="0" applyFont="1" applyBorder="1" applyAlignment="1">
      <alignment horizontal="center" vertical="center"/>
    </xf>
    <xf numFmtId="0" fontId="1" fillId="0" borderId="58" xfId="0" applyFont="1" applyBorder="1" applyAlignment="1">
      <alignment horizontal="center" vertical="center"/>
    </xf>
    <xf numFmtId="0" fontId="0" fillId="0" borderId="54" xfId="0" applyBorder="1" applyAlignment="1">
      <alignment horizontal="center"/>
    </xf>
    <xf numFmtId="0" fontId="0" fillId="0" borderId="20" xfId="0" applyBorder="1" applyAlignment="1">
      <alignment horizontal="center"/>
    </xf>
    <xf numFmtId="0" fontId="0" fillId="0" borderId="55" xfId="0" applyBorder="1" applyAlignment="1">
      <alignment horizontal="center"/>
    </xf>
    <xf numFmtId="0" fontId="0" fillId="0" borderId="46" xfId="0" applyBorder="1" applyAlignment="1">
      <alignment horizontal="center"/>
    </xf>
    <xf numFmtId="0" fontId="0" fillId="0" borderId="32" xfId="0" applyBorder="1" applyAlignment="1">
      <alignment horizontal="center"/>
    </xf>
    <xf numFmtId="0" fontId="0" fillId="0" borderId="62" xfId="0" applyBorder="1" applyAlignment="1">
      <alignment horizontal="center"/>
    </xf>
    <xf numFmtId="0" fontId="1" fillId="0" borderId="26" xfId="0" applyFont="1" applyBorder="1" applyAlignment="1">
      <alignment horizontal="center" vertical="center" wrapText="1"/>
    </xf>
    <xf numFmtId="0" fontId="1" fillId="0" borderId="3" xfId="0" applyFont="1" applyBorder="1" applyAlignment="1">
      <alignment horizontal="center" vertical="center" wrapText="1"/>
    </xf>
    <xf numFmtId="0" fontId="40" fillId="0" borderId="60" xfId="0" applyFont="1" applyBorder="1" applyAlignment="1">
      <alignment horizontal="center" vertical="center"/>
    </xf>
    <xf numFmtId="0" fontId="0" fillId="0" borderId="61" xfId="0" applyBorder="1" applyAlignment="1">
      <alignment horizontal="center" vertical="center"/>
    </xf>
    <xf numFmtId="0" fontId="1" fillId="0" borderId="2" xfId="0" applyFont="1" applyBorder="1" applyAlignment="1">
      <alignment horizontal="center" vertical="center"/>
    </xf>
    <xf numFmtId="0" fontId="1" fillId="0" borderId="64" xfId="0" applyFont="1" applyBorder="1" applyAlignment="1">
      <alignment horizontal="center" vertical="center"/>
    </xf>
    <xf numFmtId="0" fontId="1" fillId="0" borderId="49" xfId="0" applyFont="1" applyBorder="1" applyAlignment="1">
      <alignment horizontal="center" vertical="center"/>
    </xf>
    <xf numFmtId="0" fontId="1" fillId="0" borderId="63" xfId="0" applyFont="1" applyBorder="1" applyAlignment="1">
      <alignment horizontal="center" vertical="center"/>
    </xf>
    <xf numFmtId="0" fontId="40" fillId="0" borderId="47" xfId="0" applyFont="1" applyBorder="1" applyAlignment="1">
      <alignment horizontal="center" vertical="center"/>
    </xf>
    <xf numFmtId="0" fontId="0" fillId="0" borderId="48" xfId="0" applyBorder="1" applyAlignment="1">
      <alignment horizontal="center" vertical="center"/>
    </xf>
    <xf numFmtId="0" fontId="1" fillId="0" borderId="3" xfId="0" applyFont="1" applyBorder="1" applyAlignment="1">
      <alignment horizontal="center" vertical="center"/>
    </xf>
    <xf numFmtId="0" fontId="1" fillId="0" borderId="61" xfId="0" applyFont="1" applyBorder="1" applyAlignment="1">
      <alignment horizontal="center" vertical="center"/>
    </xf>
    <xf numFmtId="0" fontId="0" fillId="0" borderId="33" xfId="0" applyBorder="1" applyAlignment="1">
      <alignment horizontal="center"/>
    </xf>
    <xf numFmtId="0" fontId="1" fillId="0" borderId="26" xfId="0" applyFont="1" applyBorder="1" applyAlignment="1">
      <alignment horizontal="center" vertical="center"/>
    </xf>
    <xf numFmtId="0" fontId="9" fillId="15" borderId="2" xfId="8" applyBorder="1" applyAlignment="1">
      <alignment horizontal="center" vertical="center" wrapText="1"/>
    </xf>
    <xf numFmtId="0" fontId="9" fillId="15" borderId="15" xfId="8" applyBorder="1" applyAlignment="1">
      <alignment horizontal="center" vertical="center" wrapText="1"/>
    </xf>
    <xf numFmtId="0" fontId="9" fillId="15" borderId="3" xfId="8" applyBorder="1" applyAlignment="1">
      <alignment horizontal="center" vertical="center" wrapText="1"/>
    </xf>
    <xf numFmtId="0" fontId="0" fillId="0" borderId="0" xfId="0" applyAlignment="1">
      <alignment horizontal="center" vertical="center"/>
    </xf>
    <xf numFmtId="0" fontId="0" fillId="0" borderId="7" xfId="0" applyBorder="1" applyAlignment="1">
      <alignment horizontal="left" vertical="center" indent="1"/>
    </xf>
    <xf numFmtId="0" fontId="0" fillId="0" borderId="6" xfId="0" applyBorder="1" applyAlignment="1">
      <alignment horizontal="left" vertical="center" indent="1"/>
    </xf>
    <xf numFmtId="0" fontId="8" fillId="5" borderId="40" xfId="2" applyBorder="1" applyAlignment="1">
      <alignment horizontal="center" vertical="center"/>
    </xf>
    <xf numFmtId="0" fontId="8" fillId="5" borderId="41" xfId="2" applyBorder="1" applyAlignment="1">
      <alignment horizontal="center" vertical="center"/>
    </xf>
    <xf numFmtId="0" fontId="25" fillId="16" borderId="43" xfId="10" applyBorder="1" applyAlignment="1">
      <alignment horizontal="center" vertical="center" wrapText="1"/>
    </xf>
    <xf numFmtId="0" fontId="25" fillId="16" borderId="19" xfId="10" applyBorder="1" applyAlignment="1">
      <alignment horizontal="center" vertical="center"/>
    </xf>
    <xf numFmtId="0" fontId="0" fillId="7" borderId="23" xfId="4" applyFont="1" applyBorder="1" applyAlignment="1">
      <alignment horizontal="center"/>
    </xf>
    <xf numFmtId="0" fontId="0" fillId="7" borderId="24" xfId="4" applyFont="1" applyBorder="1" applyAlignment="1">
      <alignment horizontal="center"/>
    </xf>
    <xf numFmtId="0" fontId="0" fillId="7" borderId="25" xfId="4" applyFont="1" applyBorder="1" applyAlignment="1">
      <alignment horizontal="center"/>
    </xf>
    <xf numFmtId="17" fontId="0" fillId="0" borderId="1" xfId="0" applyNumberFormat="1" applyBorder="1" applyAlignment="1">
      <alignment horizontal="center" vertical="center"/>
    </xf>
    <xf numFmtId="0" fontId="0" fillId="8" borderId="26" xfId="0" applyFill="1" applyBorder="1" applyAlignment="1">
      <alignment horizontal="center" vertical="center"/>
    </xf>
    <xf numFmtId="0" fontId="0" fillId="8" borderId="15" xfId="0" applyFill="1" applyBorder="1" applyAlignment="1">
      <alignment horizontal="center"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17" fontId="0" fillId="0" borderId="2" xfId="0" applyNumberFormat="1" applyBorder="1" applyAlignment="1">
      <alignment horizontal="center" vertical="center"/>
    </xf>
    <xf numFmtId="0" fontId="0" fillId="0" borderId="19" xfId="0" applyBorder="1" applyAlignment="1">
      <alignment horizontal="center" vertical="center"/>
    </xf>
    <xf numFmtId="0" fontId="0" fillId="8" borderId="3" xfId="0" applyFill="1" applyBorder="1" applyAlignment="1">
      <alignment horizontal="center" vertical="center"/>
    </xf>
    <xf numFmtId="0" fontId="0" fillId="8" borderId="1" xfId="0" applyFill="1"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horizontal="center" vertical="center" wrapText="1"/>
    </xf>
    <xf numFmtId="0" fontId="15" fillId="11" borderId="31" xfId="0" applyFont="1" applyFill="1" applyBorder="1" applyAlignment="1">
      <alignment horizontal="center" vertical="center"/>
    </xf>
    <xf numFmtId="0" fontId="15" fillId="11" borderId="32" xfId="0" applyFont="1" applyFill="1" applyBorder="1" applyAlignment="1">
      <alignment horizontal="center" vertical="center"/>
    </xf>
    <xf numFmtId="0" fontId="15" fillId="11" borderId="33" xfId="0" applyFont="1" applyFill="1" applyBorder="1" applyAlignment="1">
      <alignment horizontal="center" vertical="center"/>
    </xf>
    <xf numFmtId="0" fontId="15" fillId="12" borderId="2" xfId="0" applyFont="1" applyFill="1" applyBorder="1" applyAlignment="1">
      <alignment horizontal="center" vertical="center"/>
    </xf>
    <xf numFmtId="0" fontId="15" fillId="12" borderId="15" xfId="0" applyFont="1" applyFill="1" applyBorder="1" applyAlignment="1">
      <alignment horizontal="center" vertical="center"/>
    </xf>
    <xf numFmtId="0" fontId="15" fillId="12" borderId="3" xfId="0" applyFont="1" applyFill="1" applyBorder="1" applyAlignment="1">
      <alignment horizontal="center" vertical="center"/>
    </xf>
    <xf numFmtId="0" fontId="15" fillId="0" borderId="2" xfId="0" applyFont="1" applyBorder="1" applyAlignment="1">
      <alignment horizontal="center" vertical="center"/>
    </xf>
    <xf numFmtId="0" fontId="15" fillId="0" borderId="15" xfId="0" applyFont="1" applyBorder="1" applyAlignment="1">
      <alignment horizontal="center" vertical="center"/>
    </xf>
    <xf numFmtId="0" fontId="15" fillId="0" borderId="3" xfId="0" applyFont="1" applyBorder="1" applyAlignment="1">
      <alignment horizontal="center" vertical="center"/>
    </xf>
    <xf numFmtId="0" fontId="15" fillId="12" borderId="27" xfId="0" applyFont="1" applyFill="1" applyBorder="1" applyAlignment="1">
      <alignment horizontal="center" vertical="center"/>
    </xf>
    <xf numFmtId="0" fontId="15" fillId="0" borderId="27" xfId="0"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2" xfId="0" applyFont="1" applyBorder="1" applyAlignment="1">
      <alignment vertical="center"/>
    </xf>
    <xf numFmtId="0" fontId="15" fillId="0" borderId="15" xfId="0" applyFont="1" applyBorder="1" applyAlignment="1">
      <alignment vertical="center"/>
    </xf>
    <xf numFmtId="0" fontId="15" fillId="0" borderId="3" xfId="0" applyFont="1" applyBorder="1" applyAlignment="1">
      <alignment vertical="center"/>
    </xf>
    <xf numFmtId="0" fontId="15" fillId="10" borderId="2" xfId="0" applyFont="1" applyFill="1" applyBorder="1" applyAlignment="1">
      <alignment horizontal="center" vertical="center"/>
    </xf>
    <xf numFmtId="0" fontId="15" fillId="10" borderId="3" xfId="0" applyFont="1" applyFill="1" applyBorder="1" applyAlignment="1">
      <alignment horizontal="center" vertical="center"/>
    </xf>
    <xf numFmtId="0" fontId="14" fillId="9" borderId="29" xfId="0" applyFont="1" applyFill="1" applyBorder="1" applyAlignment="1">
      <alignment horizontal="center" vertical="center"/>
    </xf>
    <xf numFmtId="0" fontId="14" fillId="9" borderId="30" xfId="0" applyFont="1" applyFill="1" applyBorder="1" applyAlignment="1">
      <alignment horizontal="center" vertical="center"/>
    </xf>
    <xf numFmtId="0" fontId="15" fillId="10" borderId="31" xfId="0" applyFont="1" applyFill="1" applyBorder="1" applyAlignment="1">
      <alignment horizontal="center" vertical="center"/>
    </xf>
    <xf numFmtId="0" fontId="15" fillId="10" borderId="32" xfId="0" applyFont="1" applyFill="1" applyBorder="1" applyAlignment="1">
      <alignment horizontal="center" vertical="center"/>
    </xf>
    <xf numFmtId="0" fontId="15" fillId="10" borderId="33" xfId="0" applyFont="1" applyFill="1" applyBorder="1" applyAlignment="1">
      <alignment horizontal="center" vertical="center"/>
    </xf>
    <xf numFmtId="0" fontId="15" fillId="10" borderId="15" xfId="0" applyFont="1" applyFill="1" applyBorder="1" applyAlignment="1">
      <alignment horizontal="center" vertical="center"/>
    </xf>
    <xf numFmtId="0" fontId="15" fillId="10" borderId="2" xfId="0" applyFont="1" applyFill="1" applyBorder="1" applyAlignment="1">
      <alignment horizontal="center" vertical="center" wrapText="1"/>
    </xf>
    <xf numFmtId="0" fontId="15" fillId="10" borderId="15"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0" fillId="0" borderId="0" xfId="0" applyAlignment="1">
      <alignment horizont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20" xfId="0" applyFont="1" applyBorder="1" applyAlignment="1">
      <alignment horizontal="center" vertical="center"/>
    </xf>
    <xf numFmtId="0" fontId="1" fillId="0" borderId="9" xfId="0" applyFont="1" applyBorder="1" applyAlignment="1">
      <alignment horizontal="center" vertical="center"/>
    </xf>
  </cellXfs>
  <cellStyles count="15">
    <cellStyle name="60% - Accent1" xfId="11" builtinId="32"/>
    <cellStyle name="60% - Accent2" xfId="8" builtinId="36"/>
    <cellStyle name="Accent3" xfId="10" builtinId="37"/>
    <cellStyle name="Accent5" xfId="12" builtinId="45"/>
    <cellStyle name="Bad" xfId="14" builtinId="27"/>
    <cellStyle name="Calculation" xfId="7" builtinId="22"/>
    <cellStyle name="Check Cell" xfId="13" builtinId="23"/>
    <cellStyle name="Good" xfId="1" builtinId="26"/>
    <cellStyle name="Heading 1" xfId="6" builtinId="16"/>
    <cellStyle name="Hyperlink" xfId="5" builtinId="8"/>
    <cellStyle name="Neutral" xfId="2" builtinId="28"/>
    <cellStyle name="Normal" xfId="0" builtinId="0"/>
    <cellStyle name="Note" xfId="4" builtinId="10"/>
    <cellStyle name="Output" xfId="9" builtinId="21"/>
    <cellStyle name="Title" xfId="3" builtinId="15"/>
  </cellStyles>
  <dxfs count="57">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indent="0" justifyLastLine="0" shrinkToFit="0" readingOrder="0"/>
    </dxf>
    <dxf>
      <alignment horizontal="left" vertical="center"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border>
    </dxf>
    <dxf>
      <border diagonalUp="0" diagonalDown="0">
        <left style="thin">
          <color indexed="64"/>
        </left>
        <right style="thin">
          <color indexed="64"/>
        </right>
        <vertical style="thin">
          <color indexed="64"/>
        </vertic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style="thin">
          <color indexed="64"/>
        </vertical>
        <horizontal/>
      </border>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ravind Srinivasan" id="{C8BC0787-F8F3-4669-9162-2E1630EF814A}" userId="aravinds@bigcatwireless.com" providerId="PeoplePicker"/>
  <person displayName="Annamalai Raj G" id="{899714BE-4D56-4FB4-AC28-EB6C74C7035F}" userId="annamalairaj@bigcatwireless.com" providerId="PeoplePicker"/>
  <person displayName="Rajkumar Vellaichamy" id="{90D1B5ED-A109-49FC-B56B-7B63950918A8}" userId="S::rajkumarv@bigcatwireless.com::c5653c21-24d8-4748-9a87-1d97e5eeb9b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D6CEE9-C3CF-43A7-B99B-C82E1A358D08}" name="Table1" displayName="Table1" ref="A2:D9" totalsRowShown="0" headerRowDxfId="56" headerRowBorderDxfId="55" tableBorderDxfId="54" totalsRowBorderDxfId="53">
  <autoFilter ref="A2:D9" xr:uid="{7AD6CEE9-C3CF-43A7-B99B-C82E1A358D08}"/>
  <tableColumns count="4">
    <tableColumn id="1" xr3:uid="{C4050239-994F-49BA-A105-F1F749517F81}" name="S.No" dataDxfId="52"/>
    <tableColumn id="2" xr3:uid="{6748A831-AC12-44BE-864F-3A7CD3892EC8}" name="Testcase" dataDxfId="51"/>
    <tableColumn id="3" xr3:uid="{07170E79-0C14-470C-AAEA-386F217ACD2E}" name="Description" dataDxfId="50"/>
    <tableColumn id="4" xr3:uid="{7021A803-7430-4979-BCF9-892F6E5E0A76}" name="Status" dataDxfId="4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D5EB6B-2B77-4FF0-A8AA-0B0161A90FBD}" name="Table33" displayName="Table33" ref="A2:H4" totalsRowShown="0" headerRowDxfId="48" headerRowBorderDxfId="47" tableBorderDxfId="46" totalsRowBorderDxfId="45">
  <autoFilter ref="A2:H4" xr:uid="{5AD5EB6B-2B77-4FF0-A8AA-0B0161A90FBD}"/>
  <tableColumns count="8">
    <tableColumn id="1" xr3:uid="{3C000719-ACC8-4571-BDE7-4548BE6A4143}" name="S.No" dataDxfId="44"/>
    <tableColumn id="2" xr3:uid="{5E6D17C7-6073-433E-9476-3945EEB461B7}" name="Features" dataDxfId="43"/>
    <tableColumn id="3" xr3:uid="{5519540B-50A5-4446-A423-DB608FB94B72}" name="Description" dataDxfId="42"/>
    <tableColumn id="5" xr3:uid="{77F3AEA9-B8AE-46C5-9FE6-716FE020D58C}" name="CoverGroup"/>
    <tableColumn id="6" xr3:uid="{0E1DD786-9546-4829-8B5B-AB884BC9CF40}" name="CoverPoint"/>
    <tableColumn id="7" xr3:uid="{ACB0915E-1DF5-43B5-9B57-231D557B8A68}" name="CoverageBin"/>
    <tableColumn id="4" xr3:uid="{F614FEB7-8518-412F-A795-781C783A9C5D}" name="Status" dataDxfId="41"/>
    <tableColumn id="8" xr3:uid="{504944F4-A8F3-482F-8F01-37248A9804BA}" name="Testcase Nam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534404-82B4-4401-BE31-81169A8451AE}" name="Table35" displayName="Table35" ref="A1:H4" totalsRowShown="0" headerRowDxfId="40" headerRowBorderDxfId="39" tableBorderDxfId="38" totalsRowBorderDxfId="37">
  <autoFilter ref="A1:H4" xr:uid="{9E534404-82B4-4401-BE31-81169A8451AE}"/>
  <tableColumns count="8">
    <tableColumn id="1" xr3:uid="{79EB553B-6869-44FF-B508-5CD18456D7EF}" name="S.No" dataDxfId="36"/>
    <tableColumn id="2" xr3:uid="{C02B1758-5AD9-4B99-8DDF-41E414C96DC3}" name="Features" dataDxfId="35"/>
    <tableColumn id="3" xr3:uid="{424BE5F4-DB2A-4D49-AC7E-5FCE1E1051C5}" name="Description"/>
    <tableColumn id="5" xr3:uid="{8EADCDC7-5643-4B81-A5AC-9BAC36002A10}" name="CoverGroup"/>
    <tableColumn id="6" xr3:uid="{E28AD075-C23A-47B0-85E0-F9E80966A201}" name="CoverPoint"/>
    <tableColumn id="7" xr3:uid="{1DD5E39A-A95D-4188-8733-F91E5EADF7E3}" name="CoverageBin"/>
    <tableColumn id="4" xr3:uid="{49890017-DAF4-443E-A5D8-1E38A329CE9A}" name="Status" dataDxfId="34"/>
    <tableColumn id="8" xr3:uid="{6ED3DD32-036F-4A78-B0B5-43BC68F85949}" name="Testcase Nam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5202C6-CC9C-4FB0-9D7C-FB31CEEA12B2}" name="Table357" displayName="Table357" ref="A1:H3" totalsRowShown="0" headerRowDxfId="33" headerRowBorderDxfId="32" tableBorderDxfId="31" totalsRowBorderDxfId="30">
  <autoFilter ref="A1:H3" xr:uid="{6C5202C6-CC9C-4FB0-9D7C-FB31CEEA12B2}"/>
  <tableColumns count="8">
    <tableColumn id="1" xr3:uid="{51631913-2801-45BE-A910-DEF6494A2911}" name="S.No" dataDxfId="29"/>
    <tableColumn id="2" xr3:uid="{08AA0BAE-7F44-4760-ACEF-21297F5C79A0}" name="Features" dataDxfId="28"/>
    <tableColumn id="3" xr3:uid="{24EB02AD-9C14-4011-9E58-6EF0BDDA48BA}" name="Description"/>
    <tableColumn id="5" xr3:uid="{F159434E-BDF4-4B8E-9CC0-A064CAFEB99D}" name="CoverGroup"/>
    <tableColumn id="6" xr3:uid="{ED128F16-AB26-453E-8121-27F9088B7123}" name="CoverPoint"/>
    <tableColumn id="7" xr3:uid="{60CAB203-AFF1-44EC-84A1-F74BE53B57C7}" name="CoverageBin"/>
    <tableColumn id="4" xr3:uid="{43C2A961-F58F-46BE-A2CE-D8ED8F686260}" name="Status" dataDxfId="27"/>
    <tableColumn id="8" xr3:uid="{A80430BD-7B80-4B29-AFBA-92C49381AECC}" name="Testcase Nam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7EDC8E-337D-4B33-951F-D6C655742E7D}" name="Table3578" displayName="Table3578" ref="A1:H3" totalsRowShown="0" headerRowDxfId="26" headerRowBorderDxfId="25" tableBorderDxfId="24" totalsRowBorderDxfId="23">
  <autoFilter ref="A1:H3" xr:uid="{EE7EDC8E-337D-4B33-951F-D6C655742E7D}"/>
  <tableColumns count="8">
    <tableColumn id="1" xr3:uid="{14300833-97E1-46A6-B84C-630D0AFD45C1}" name="S.No" dataDxfId="22"/>
    <tableColumn id="2" xr3:uid="{4EE22209-19EE-4CC6-92E9-DA06BD5F89D6}" name="Features" dataDxfId="21"/>
    <tableColumn id="3" xr3:uid="{915569E7-2F3A-4D45-9590-DC771B3C48A1}" name="Description"/>
    <tableColumn id="5" xr3:uid="{BBE26334-5039-4781-9F94-7CBFADD2AACA}" name="CoverGroup"/>
    <tableColumn id="6" xr3:uid="{C3912B92-D45C-4180-B642-E188C2F5774B}" name="CoverPoint"/>
    <tableColumn id="7" xr3:uid="{FA99174E-9205-4268-B2A8-F4E880A8510A}" name="CoverageBin"/>
    <tableColumn id="4" xr3:uid="{C9D1E48D-1431-4646-B5BC-931BFD6144A5}" name="Status" dataDxfId="20"/>
    <tableColumn id="8" xr3:uid="{5F48EE0E-B93C-4890-B76A-0456C1DCAC52}" name="Testcase Name"/>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83C54A-099A-4E75-AA50-AAC6DAACCBF1}" name="Table35789" displayName="Table35789" ref="A1:H3" totalsRowShown="0" headerRowDxfId="19" headerRowBorderDxfId="18" tableBorderDxfId="17" totalsRowBorderDxfId="16">
  <autoFilter ref="A1:H3" xr:uid="{6183C54A-099A-4E75-AA50-AAC6DAACCBF1}"/>
  <tableColumns count="8">
    <tableColumn id="1" xr3:uid="{21C72BB4-CDFA-4312-BB23-C5C4D54DDEA2}" name="S.No" dataDxfId="15"/>
    <tableColumn id="2" xr3:uid="{35CD4B0F-1EC8-4257-9E89-61A3B4EB5EEA}" name="Features" dataDxfId="14"/>
    <tableColumn id="3" xr3:uid="{9EE1BFB0-C2E2-46D2-B688-40B7FAE54F6C}" name="Description"/>
    <tableColumn id="5" xr3:uid="{DFE9B838-616B-41FC-9D5E-F0D07BD4FB9C}" name="CoverGroup"/>
    <tableColumn id="6" xr3:uid="{6F833E90-6918-4962-BC10-9D8BED76F288}" name="CoverPoint"/>
    <tableColumn id="7" xr3:uid="{04E66DC4-36FA-4267-BCA6-97A85A37B7CE}" name="CoverageBin"/>
    <tableColumn id="4" xr3:uid="{3AFAEE1B-C00D-424E-8AAA-888E48412CFB}" name="Status" dataDxfId="13"/>
    <tableColumn id="8" xr3:uid="{7BB2F860-FAF1-482D-A77C-B86FD15A761A}" name="Testcase Name"/>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61D52CD-9F94-4C08-A41D-2FCCAA17014D}" name="Table3578910" displayName="Table3578910" ref="A1:H3" totalsRowShown="0" headerRowDxfId="12" headerRowBorderDxfId="11" tableBorderDxfId="10" totalsRowBorderDxfId="9">
  <autoFilter ref="A1:H3" xr:uid="{761D52CD-9F94-4C08-A41D-2FCCAA17014D}"/>
  <tableColumns count="8">
    <tableColumn id="1" xr3:uid="{4694E778-2924-4827-96BD-6D0B37B149D1}" name="S.No" dataDxfId="8"/>
    <tableColumn id="2" xr3:uid="{BA3C9249-9D61-46E3-BE1A-F9401CC1A6BB}" name="Features" dataDxfId="7"/>
    <tableColumn id="3" xr3:uid="{8229CEC3-73F9-41F1-8F0B-8057FCCCA769}" name="Description"/>
    <tableColumn id="5" xr3:uid="{30233C95-5D8D-4A7B-A3F7-8D4FBCEABFFE}" name="CoverGroup"/>
    <tableColumn id="6" xr3:uid="{5311C504-9E93-4512-A958-1474304FC102}" name="CoverPoint"/>
    <tableColumn id="7" xr3:uid="{4A496140-110A-4EF7-9E1E-163E0C139887}" name="CoverageBin"/>
    <tableColumn id="4" xr3:uid="{EFD02A93-CC5F-471E-A064-1B36132074EE}" name="Status" dataDxfId="6"/>
    <tableColumn id="8" xr3:uid="{966DCF1F-3122-42F4-AC69-6AD6FB784DEC}" name="Testcase Nam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ED0F52-1265-4E47-97C0-BE215C126FD9}" name="Table3" displayName="Table3" ref="A1:D70" totalsRowShown="0" headerRowDxfId="5" dataDxfId="4" headerRowCellStyle="Accent5">
  <autoFilter ref="A1:D70" xr:uid="{46ED0F52-1265-4E47-97C0-BE215C126FD9}"/>
  <tableColumns count="4">
    <tableColumn id="1" xr3:uid="{C685E325-2C0E-44F3-9591-29608A3B9369}" name="S.NO" dataDxfId="3"/>
    <tableColumn id="2" xr3:uid="{CD6BB563-768F-463D-843A-E4DB91926468}" name="Features" dataDxfId="2"/>
    <tableColumn id="3" xr3:uid="{08ADD262-2186-4DFB-A8D0-4EFC2B1E6841}" name="CC/Register Configuration" dataDxfId="1"/>
    <tableColumn id="4" xr3:uid="{8E8ACA3A-94F5-41BE-9686-203002A5F517}"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 dT="2023-06-05T10:44:27.03" personId="{90D1B5ED-A109-49FC-B56B-7B63950918A8}" id="{DE17D6D1-D730-4DE9-B6B3-A94B35AA9539}">
    <text xml:space="preserve">@Aravind Srinivasan , Add test case for C and U Plane Fragmentation
</text>
    <mentions>
      <mention mentionpersonId="{C8BC0787-F8F3-4669-9162-2E1630EF814A}" mentionId="{FD2E6B4C-0DD5-4BED-92ED-57615D37B5EE}" startIndex="0" length="19"/>
    </mentions>
  </threadedComment>
  <threadedComment ref="B4" dT="2023-06-05T10:43:41.55" personId="{90D1B5ED-A109-49FC-B56B-7B63950918A8}" id="{C507B91D-E1B0-4BC6-888A-C7CCCDF64E73}">
    <text xml:space="preserve">@Aravind Srinivasan Add testcase for fragmentation With and Without Compression </text>
    <mentions>
      <mention mentionpersonId="{C8BC0787-F8F3-4669-9162-2E1630EF814A}" mentionId="{54F78628-4371-4D9E-A0FB-53A3B534F287}" startIndex="0" length="19"/>
    </mentions>
  </threadedComment>
  <threadedComment ref="A8" dT="2023-06-05T12:08:05.57" personId="{90D1B5ED-A109-49FC-B56B-7B63950918A8}" id="{6A5BAF16-AA2E-4AD3-8721-A67C0BBA7627}" done="1">
    <text>@Aravind Srinivasan , If lower bound and upper bound values are more than 2.56 s, you need to offset it by
- 2.56 s (wrapping period 2.56 s, O-RAN spec v9.0 WG4, 7.5.2.4.), Please add one testcase to address this. i.e Window feature testing during Frame counter ROLL OVER</text>
    <mentions>
      <mention mentionpersonId="{C8BC0787-F8F3-4669-9162-2E1630EF814A}" mentionId="{6150A937-610E-4719-B1B2-38E25198D534}" startIndex="0" length="19"/>
    </mentions>
  </threadedComment>
  <threadedComment ref="B8" dT="2023-06-05T10:45:21.55" personId="{90D1B5ED-A109-49FC-B56B-7B63950918A8}" id="{B601558C-656B-47BF-A3CF-E204185D5173}" done="1">
    <text xml:space="preserve">@Aravind Srinivasan , Add testcase for the following cases: DL Early, DL Late, UL Early, UL Late, Packets within  window cases 
</text>
    <mentions>
      <mention mentionpersonId="{C8BC0787-F8F3-4669-9162-2E1630EF814A}" mentionId="{AC49BCFA-D43A-4279-9FFA-558DBE7EE499}" startIndex="0" length="19"/>
    </mentions>
  </threadedComment>
  <threadedComment ref="C8" dT="2023-06-05T11:49:55.61" personId="{90D1B5ED-A109-49FC-B56B-7B63950918A8}" id="{34958DB1-351B-4688-8E47-0F014ACD6861}" done="1">
    <text>@Aravind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ext>
    <mentions>
      <mention mentionpersonId="{C8BC0787-F8F3-4669-9162-2E1630EF814A}" mentionId="{D6355499-6AE6-4DA3-86BE-8B01684EEDE9}" startIndex="0" length="19"/>
    </mentions>
  </threadedComment>
  <threadedComment ref="C11" dT="2023-06-05T11:49:55.61" personId="{90D1B5ED-A109-49FC-B56B-7B63950918A8}" id="{628DACE9-AB2E-431D-B403-93682BD165AA}" done="1">
    <text>@Aravind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ext>
    <mentions>
      <mention mentionpersonId="{C8BC0787-F8F3-4669-9162-2E1630EF814A}" mentionId="{9B5B17A7-BBBA-49DF-9BD6-36E84C17A357}" startIndex="0" length="19"/>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3-06-05T12:08:05.57" personId="{90D1B5ED-A109-49FC-B56B-7B63950918A8}" id="{720576D2-CE66-4A1A-BEC0-E151B5186974}" done="1">
    <text>@Aravind Srinivasan , If lower bound and upper bound values are more than 2.56 s, you need to offset it by
- 2.56 s (wrapping period 2.56 s, O-RAN spec v9.0 WG4, 7.5.2.4.), Please add one testcase to address this. i.e Window feature testing during Frame counter ROLL OVER</text>
    <mentions>
      <mention mentionpersonId="{C8BC0787-F8F3-4669-9162-2E1630EF814A}" mentionId="{4F4B3478-CF88-4277-BA8D-6700F536E0D9}" startIndex="0" length="19"/>
    </mentions>
  </threadedComment>
  <threadedComment ref="B3" dT="2023-06-05T10:45:21.55" personId="{90D1B5ED-A109-49FC-B56B-7B63950918A8}" id="{59C92263-B503-46D2-9BF5-DF3F3204E05E}" done="1">
    <text xml:space="preserve">@Aravind Srinivasan , Add testcase for the following cases: DL Early, DL Late, UL Early, UL Late, Packets within  window cases 
</text>
    <mentions>
      <mention mentionpersonId="{C8BC0787-F8F3-4669-9162-2E1630EF814A}" mentionId="{AA9095AB-02C5-4BE5-8CCB-284769EFB2A4}" startIndex="0" length="19"/>
    </mentions>
  </threadedComment>
  <threadedComment ref="C3" dT="2023-06-05T11:49:55.61" personId="{90D1B5ED-A109-49FC-B56B-7B63950918A8}" id="{EC3A63A2-77B0-4845-ACEA-EA2D526F9728}" done="1">
    <text>@Aravind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ext>
    <mentions>
      <mention mentionpersonId="{C8BC0787-F8F3-4669-9162-2E1630EF814A}" mentionId="{1506AFB8-7295-4CB6-BBD4-9E5B960C9B71}" startIndex="0" length="19"/>
    </mentions>
  </threadedComment>
  <threadedComment ref="C6" dT="2023-06-05T11:49:55.61" personId="{90D1B5ED-A109-49FC-B56B-7B63950918A8}" id="{6407F4B6-3A69-4835-8689-738AB11E9D31}" done="1">
    <text>@Aravind Srinivasan , Symbol number outside the boundary (Symbol number can range between 0-14) , Scenarios are receive symbol-2 outside the range, Symbol 4,5 outside the range. Receive one symbol inrange, Alternate symbol in-range and out of range. Add more scenarios, This will stress out PRB-Blanking feature</text>
    <mentions>
      <mention mentionpersonId="{C8BC0787-F8F3-4669-9162-2E1630EF814A}" mentionId="{4D8097A5-4E35-4380-BE3A-C58F77004391}" startIndex="0" length="19"/>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D6" dT="2023-06-08T13:54:35.26" personId="{90D1B5ED-A109-49FC-B56B-7B63950918A8}" id="{5C9BA7C4-CBAD-4D0A-906D-50F04D38A75C}">
    <text>@Annamalai Raj G , Please add TESTCASE for fragmentation size 1500</text>
    <mentions>
      <mention mentionpersonId="{899714BE-4D56-4FB4-AC28-EB6C74C7035F}" mentionId="{048F71CD-3596-4929-B99B-D4ABF49C17CF}" startIndex="0" length="16"/>
    </mentions>
  </threadedComment>
  <threadedComment ref="D6" dT="2023-06-08T13:55:05.93" personId="{90D1B5ED-A109-49FC-B56B-7B63950918A8}" id="{E1E8119A-594B-45A6-A786-5EA268AFF2AD}" parentId="{5C9BA7C4-CBAD-4D0A-906D-50F04D38A75C}">
    <text>@Annamalai Raj G , Include 60MHz testcase</text>
    <mentions>
      <mention mentionpersonId="{899714BE-4D56-4FB4-AC28-EB6C74C7035F}" mentionId="{98233A8B-1999-4488-BAD9-C10DAD9F06F2}" startIndex="0" length="16"/>
    </mentions>
  </threadedComment>
  <threadedComment ref="E6" dT="2023-06-08T13:55:40.81" personId="{90D1B5ED-A109-49FC-B56B-7B63950918A8}" id="{E1A411EA-C8BF-4395-986E-6D9802364F05}">
    <text xml:space="preserve">@Annamalai Raj G , Add testcase with BFP9 bit Compression enable
</text>
    <mentions>
      <mention mentionpersonId="{899714BE-4D56-4FB4-AC28-EB6C74C7035F}" mentionId="{48AD2979-2DCA-4CD7-B124-A6D281C999ED}" startIndex="0" length="16"/>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C1" dT="2023-06-08T13:54:35.26" personId="{90D1B5ED-A109-49FC-B56B-7B63950918A8}" id="{7AB698A8-CCC0-460C-9B39-04E8A0545B33}">
    <text>@Annamalai Raj G , Please add TESTCASE for fragmentation size 1500</text>
    <mentions>
      <mention mentionpersonId="{899714BE-4D56-4FB4-AC28-EB6C74C7035F}" mentionId="{B517B783-E2CC-413E-BDCD-D85EF44BB712}" startIndex="0" length="16"/>
    </mentions>
  </threadedComment>
  <threadedComment ref="C1" dT="2023-06-08T13:55:05.93" personId="{90D1B5ED-A109-49FC-B56B-7B63950918A8}" id="{7BB00EB1-EDB0-4931-92AE-2F1A4BDBCD4C}" parentId="{7AB698A8-CCC0-460C-9B39-04E8A0545B33}">
    <text>@Annamalai Raj G , Include 60MHz testcase</text>
    <mentions>
      <mention mentionpersonId="{899714BE-4D56-4FB4-AC28-EB6C74C7035F}" mentionId="{6CFB4544-9C33-43F8-BB81-F6F24736783D}" startIndex="0" length="16"/>
    </mentions>
  </threadedComment>
  <threadedComment ref="D1" dT="2023-06-08T13:55:40.81" personId="{90D1B5ED-A109-49FC-B56B-7B63950918A8}" id="{F6D70CBF-F54F-432F-8EDF-5F4F71A47AF6}">
    <text xml:space="preserve">@Annamalai Raj G , Add testcase with BFP9 bit Compression enable
</text>
    <mentions>
      <mention mentionpersonId="{899714BE-4D56-4FB4-AC28-EB6C74C7035F}" mentionId="{713AC38C-2934-4F12-93A9-D5B59850855A}" startIndex="0" length="16"/>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C1" dT="2023-06-08T13:54:35.26" personId="{90D1B5ED-A109-49FC-B56B-7B63950918A8}" id="{F3F2A519-035F-4E81-8D67-87C44D9CB7A6}">
    <text>@Annamalai Raj G , Please add TESTCASE for fragmentation size 1500</text>
    <mentions>
      <mention mentionpersonId="{899714BE-4D56-4FB4-AC28-EB6C74C7035F}" mentionId="{7B1EC3D0-C038-44CB-A2D2-47AAF5F10280}" startIndex="0" length="16"/>
    </mentions>
  </threadedComment>
  <threadedComment ref="C1" dT="2023-06-08T13:55:05.93" personId="{90D1B5ED-A109-49FC-B56B-7B63950918A8}" id="{1421CCF7-54F8-4F6F-B980-590777712C30}" parentId="{F3F2A519-035F-4E81-8D67-87C44D9CB7A6}">
    <text>@Annamalai Raj G , Include 60MHz testcase</text>
    <mentions>
      <mention mentionpersonId="{899714BE-4D56-4FB4-AC28-EB6C74C7035F}" mentionId="{0800CD43-8271-49C5-A909-0E779030CA28}" startIndex="0" length="16"/>
    </mentions>
  </threadedComment>
  <threadedComment ref="D1" dT="2023-06-08T13:55:40.81" personId="{90D1B5ED-A109-49FC-B56B-7B63950918A8}" id="{32C002A5-A2C0-44EA-B97C-77939B73443D}">
    <text xml:space="preserve">@Annamalai Raj G , Add testcase with BFP9 bit Compression enable
</text>
    <mentions>
      <mention mentionpersonId="{899714BE-4D56-4FB4-AC28-EB6C74C7035F}" mentionId="{73F8C9D4-4D75-43DD-9778-03E34C87DE6B}" startIndex="0" length="16"/>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C1" dT="2023-06-08T13:54:35.26" personId="{90D1B5ED-A109-49FC-B56B-7B63950918A8}" id="{7565913F-C915-43D7-8A5E-330EB630D37B}">
    <text>@Annamalai Raj G , Please add TESTCASE for fragmentation size 1500</text>
    <mentions>
      <mention mentionpersonId="{899714BE-4D56-4FB4-AC28-EB6C74C7035F}" mentionId="{1DA4C345-F7A9-4735-8236-0E10D4B181FF}" startIndex="0" length="16"/>
    </mentions>
  </threadedComment>
  <threadedComment ref="C1" dT="2023-06-08T13:55:05.93" personId="{90D1B5ED-A109-49FC-B56B-7B63950918A8}" id="{7035A465-2344-4EF6-A7F5-0ED11C349D3F}" parentId="{7565913F-C915-43D7-8A5E-330EB630D37B}">
    <text>@Annamalai Raj G , Include 60MHz testcase</text>
    <mentions>
      <mention mentionpersonId="{899714BE-4D56-4FB4-AC28-EB6C74C7035F}" mentionId="{91EDA8AC-BE1D-496C-905F-9C588DB9D0CD}" startIndex="0" length="16"/>
    </mentions>
  </threadedComment>
  <threadedComment ref="D1" dT="2023-06-08T13:55:40.81" personId="{90D1B5ED-A109-49FC-B56B-7B63950918A8}" id="{EE4FD963-431E-49B2-BFBB-6A048DEBBA77}">
    <text xml:space="preserve">@Annamalai Raj G , Add testcase with BFP9 bit Compression enable
</text>
    <mentions>
      <mention mentionpersonId="{899714BE-4D56-4FB4-AC28-EB6C74C7035F}" mentionId="{B2673A46-16A8-4AF0-83AE-C3A749E99446}" startIndex="0" length="16"/>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C1" dT="2023-06-08T13:54:35.26" personId="{90D1B5ED-A109-49FC-B56B-7B63950918A8}" id="{CED466F3-4357-45A4-BB7D-3B3721458C00}">
    <text>@Annamalai Raj G , Please add TESTCASE for fragmentation size 1500</text>
    <mentions>
      <mention mentionpersonId="{899714BE-4D56-4FB4-AC28-EB6C74C7035F}" mentionId="{AC0CB0FA-AFF9-4ACA-BD3F-EE245CB423D9}" startIndex="0" length="16"/>
    </mentions>
  </threadedComment>
  <threadedComment ref="C1" dT="2023-06-08T13:55:05.93" personId="{90D1B5ED-A109-49FC-B56B-7B63950918A8}" id="{3F1F4B64-9D6A-415A-A642-9A851ABCB426}" parentId="{CED466F3-4357-45A4-BB7D-3B3721458C00}">
    <text>@Annamalai Raj G , Include 60MHz testcase</text>
    <mentions>
      <mention mentionpersonId="{899714BE-4D56-4FB4-AC28-EB6C74C7035F}" mentionId="{126F832A-276A-40CE-A0B0-E114E260E66C}" startIndex="0" length="16"/>
    </mentions>
  </threadedComment>
  <threadedComment ref="D1" dT="2023-06-08T13:55:40.81" personId="{90D1B5ED-A109-49FC-B56B-7B63950918A8}" id="{7C5324B9-2A6B-416D-9FC9-DF704CD92C9E}">
    <text xml:space="preserve">@Annamalai Raj G , Add testcase with BFP9 bit Compression enable
</text>
    <mentions>
      <mention mentionpersonId="{899714BE-4D56-4FB4-AC28-EB6C74C7035F}" mentionId="{B96C59F0-7EC0-45EF-A34E-384A061F96A9}" startIndex="0" length="16"/>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ev.azure.com/bigcatwireless/IN-SailRiver-Phase2/_git/IN-SailRiver-FPGA_UT/commit/7d55ade8afd75aaaec31ec9e45926c8a76caacbb?refName=refs/heads/master" TargetMode="External"/><Relationship Id="rId1" Type="http://schemas.openxmlformats.org/officeDocument/2006/relationships/hyperlink" Target="../../_layouts/OneNote.aspx?id=%2Fsites%2FIN-SailRiver-Phase2%2FSiteAssets%2FIN-SailRiver-Phase2%20Notebook&amp;wd=target%28FH_IP_connectivity.one%7C2884BCAB-F444-4543-A381-C9299C597659%2FSec_id_fix%7C8638B04D-179C-40D1-BC35-E4B048A69B3F%2F%29"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8.xml"/><Relationship Id="rId1" Type="http://schemas.openxmlformats.org/officeDocument/2006/relationships/vmlDrawing" Target="../drawings/vmlDrawing4.v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2.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FC83-C21A-4D59-9E67-4404C39B1BB2}">
  <dimension ref="A2:D9"/>
  <sheetViews>
    <sheetView workbookViewId="0">
      <selection activeCell="C2" sqref="C2"/>
    </sheetView>
  </sheetViews>
  <sheetFormatPr defaultRowHeight="15" x14ac:dyDescent="0.25"/>
  <cols>
    <col min="1" max="1" width="9.42578125" bestFit="1" customWidth="1"/>
    <col min="2" max="2" width="24" bestFit="1" customWidth="1"/>
    <col min="3" max="3" width="98.5703125" bestFit="1" customWidth="1"/>
    <col min="4" max="4" width="16.85546875" bestFit="1" customWidth="1"/>
    <col min="5" max="5" width="11.42578125" bestFit="1" customWidth="1"/>
    <col min="6" max="6" width="21.5703125" bestFit="1" customWidth="1"/>
    <col min="7" max="7" width="10.42578125" bestFit="1" customWidth="1"/>
    <col min="8" max="8" width="14.5703125" bestFit="1" customWidth="1"/>
    <col min="9" max="9" width="16.5703125" bestFit="1" customWidth="1"/>
    <col min="10" max="10" width="8" bestFit="1" customWidth="1"/>
    <col min="11" max="11" width="18.5703125" bestFit="1" customWidth="1"/>
    <col min="12" max="12" width="8.85546875" bestFit="1" customWidth="1"/>
    <col min="13" max="13" width="6.42578125" bestFit="1" customWidth="1"/>
    <col min="14" max="14" width="24.5703125" customWidth="1"/>
  </cols>
  <sheetData>
    <row r="2" spans="1:4" x14ac:dyDescent="0.25">
      <c r="A2" s="8" t="s">
        <v>0</v>
      </c>
      <c r="B2" s="9" t="s">
        <v>1</v>
      </c>
      <c r="C2" s="9" t="s">
        <v>2</v>
      </c>
      <c r="D2" s="10" t="s">
        <v>3</v>
      </c>
    </row>
    <row r="3" spans="1:4" x14ac:dyDescent="0.25">
      <c r="A3" s="6"/>
      <c r="B3" s="1"/>
      <c r="C3" s="1"/>
      <c r="D3" s="7"/>
    </row>
    <row r="4" spans="1:4" ht="60" x14ac:dyDescent="0.25">
      <c r="A4" s="6">
        <v>1</v>
      </c>
      <c r="B4" s="1" t="s">
        <v>4</v>
      </c>
      <c r="C4" s="5" t="s">
        <v>5</v>
      </c>
      <c r="D4" s="14" t="s">
        <v>6</v>
      </c>
    </row>
    <row r="5" spans="1:4" ht="30" x14ac:dyDescent="0.25">
      <c r="A5" s="6">
        <v>2</v>
      </c>
      <c r="B5" s="1" t="s">
        <v>7</v>
      </c>
      <c r="C5" s="5" t="s">
        <v>8</v>
      </c>
      <c r="D5" s="14" t="s">
        <v>6</v>
      </c>
    </row>
    <row r="6" spans="1:4" ht="30" x14ac:dyDescent="0.25">
      <c r="A6" s="6">
        <v>3</v>
      </c>
      <c r="B6" s="1" t="s">
        <v>9</v>
      </c>
      <c r="C6" s="5" t="s">
        <v>10</v>
      </c>
      <c r="D6" s="14" t="s">
        <v>6</v>
      </c>
    </row>
    <row r="7" spans="1:4" ht="45" x14ac:dyDescent="0.25">
      <c r="A7" s="6">
        <v>4</v>
      </c>
      <c r="B7" s="1" t="s">
        <v>11</v>
      </c>
      <c r="C7" s="5" t="s">
        <v>12</v>
      </c>
      <c r="D7" s="14" t="s">
        <v>6</v>
      </c>
    </row>
    <row r="8" spans="1:4" ht="60" x14ac:dyDescent="0.25">
      <c r="A8" s="6">
        <v>5</v>
      </c>
      <c r="B8" s="1" t="s">
        <v>13</v>
      </c>
      <c r="C8" s="5" t="s">
        <v>14</v>
      </c>
      <c r="D8" s="14" t="s">
        <v>6</v>
      </c>
    </row>
    <row r="9" spans="1:4" ht="60" x14ac:dyDescent="0.25">
      <c r="A9" s="11">
        <v>6</v>
      </c>
      <c r="B9" s="12" t="s">
        <v>15</v>
      </c>
      <c r="C9" s="13" t="s">
        <v>16</v>
      </c>
      <c r="D9" s="15" t="s">
        <v>6</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7B18-4656-4876-ABA1-B382BFB03473}">
  <dimension ref="A1:N81"/>
  <sheetViews>
    <sheetView topLeftCell="A4" zoomScaleNormal="100" workbookViewId="0">
      <selection activeCell="C9" sqref="C9"/>
    </sheetView>
  </sheetViews>
  <sheetFormatPr defaultRowHeight="15" x14ac:dyDescent="0.25"/>
  <cols>
    <col min="1" max="1" width="9.42578125" bestFit="1" customWidth="1"/>
    <col min="2" max="2" width="29.42578125" bestFit="1" customWidth="1"/>
    <col min="3" max="3" width="64.5703125" style="2" customWidth="1"/>
    <col min="4" max="4" width="23.85546875" style="2" customWidth="1"/>
    <col min="5" max="5" width="31.42578125" style="2" customWidth="1"/>
    <col min="6" max="6" width="17.42578125" style="2" bestFit="1" customWidth="1"/>
    <col min="7" max="7" width="16.42578125" customWidth="1"/>
    <col min="8" max="8" width="23.5703125" customWidth="1"/>
    <col min="9" max="9" width="14" customWidth="1"/>
    <col min="10" max="10" width="10.42578125" bestFit="1" customWidth="1"/>
    <col min="11" max="11" width="22.140625" customWidth="1"/>
    <col min="12" max="12" width="24.140625" bestFit="1" customWidth="1"/>
    <col min="13" max="13" width="14.140625" hidden="1" customWidth="1"/>
    <col min="14" max="14" width="19.85546875" hidden="1" customWidth="1"/>
    <col min="15" max="15" width="21.42578125" customWidth="1"/>
    <col min="16" max="16" width="57.85546875" customWidth="1"/>
    <col min="18" max="18" width="11.5703125" customWidth="1"/>
  </cols>
  <sheetData>
    <row r="1" spans="1:8" ht="21" x14ac:dyDescent="0.35">
      <c r="C1" s="4"/>
      <c r="D1" s="4"/>
      <c r="E1"/>
      <c r="F1"/>
    </row>
    <row r="2" spans="1:8" x14ac:dyDescent="0.25">
      <c r="A2" s="20" t="s">
        <v>0</v>
      </c>
      <c r="B2" s="18" t="s">
        <v>17</v>
      </c>
      <c r="C2" s="18" t="s">
        <v>2</v>
      </c>
      <c r="D2" s="19" t="s">
        <v>18</v>
      </c>
      <c r="E2" s="19" t="s">
        <v>19</v>
      </c>
      <c r="F2" s="19" t="s">
        <v>20</v>
      </c>
      <c r="G2" s="19" t="s">
        <v>3</v>
      </c>
      <c r="H2" s="18" t="s">
        <v>21</v>
      </c>
    </row>
    <row r="3" spans="1:8" ht="57.6" customHeight="1" x14ac:dyDescent="0.25">
      <c r="A3" s="284">
        <v>1</v>
      </c>
      <c r="B3" s="295" t="s">
        <v>4</v>
      </c>
      <c r="C3" s="290" t="s">
        <v>5</v>
      </c>
      <c r="D3" s="23" t="s">
        <v>22</v>
      </c>
      <c r="E3" s="23" t="s">
        <v>23</v>
      </c>
      <c r="F3" s="23" t="s">
        <v>24</v>
      </c>
      <c r="G3" s="287" t="s">
        <v>25</v>
      </c>
      <c r="H3" s="290" t="s">
        <v>26</v>
      </c>
    </row>
    <row r="4" spans="1:8" ht="60" x14ac:dyDescent="0.25">
      <c r="A4" s="285"/>
      <c r="B4" s="296"/>
      <c r="C4" s="291"/>
      <c r="D4" s="293" t="s">
        <v>27</v>
      </c>
      <c r="E4" s="23" t="s">
        <v>28</v>
      </c>
      <c r="F4" s="23" t="s">
        <v>29</v>
      </c>
      <c r="G4" s="288"/>
      <c r="H4" s="291"/>
    </row>
    <row r="5" spans="1:8" ht="45" x14ac:dyDescent="0.25">
      <c r="A5" s="286"/>
      <c r="B5" s="297"/>
      <c r="C5" s="292"/>
      <c r="D5" s="294"/>
      <c r="E5" s="23" t="s">
        <v>30</v>
      </c>
      <c r="F5" s="23"/>
      <c r="G5" s="289"/>
      <c r="H5" s="292"/>
    </row>
    <row r="6" spans="1:8" ht="45" x14ac:dyDescent="0.25">
      <c r="A6" s="24">
        <v>2</v>
      </c>
      <c r="B6" s="25" t="s">
        <v>7</v>
      </c>
      <c r="C6" s="26" t="s">
        <v>8</v>
      </c>
      <c r="D6" s="26" t="s">
        <v>31</v>
      </c>
      <c r="E6" s="26" t="s">
        <v>32</v>
      </c>
      <c r="F6" s="26" t="s">
        <v>33</v>
      </c>
      <c r="G6" s="27" t="s">
        <v>25</v>
      </c>
      <c r="H6" s="26" t="s">
        <v>34</v>
      </c>
    </row>
    <row r="7" spans="1:8" ht="45" x14ac:dyDescent="0.25">
      <c r="A7" s="24">
        <v>3</v>
      </c>
      <c r="B7" s="25" t="s">
        <v>9</v>
      </c>
      <c r="C7" s="26" t="s">
        <v>10</v>
      </c>
      <c r="D7" s="26" t="s">
        <v>35</v>
      </c>
      <c r="E7" s="26" t="s">
        <v>36</v>
      </c>
      <c r="F7" s="26" t="s">
        <v>33</v>
      </c>
      <c r="G7" s="27" t="s">
        <v>25</v>
      </c>
      <c r="H7" s="26" t="s">
        <v>37</v>
      </c>
    </row>
    <row r="8" spans="1:8" ht="71.45" customHeight="1" x14ac:dyDescent="0.25">
      <c r="A8" s="24">
        <v>4</v>
      </c>
      <c r="B8" s="21" t="s">
        <v>15</v>
      </c>
      <c r="C8" s="22" t="s">
        <v>16</v>
      </c>
      <c r="D8" s="22" t="s">
        <v>38</v>
      </c>
      <c r="E8" s="22" t="s">
        <v>39</v>
      </c>
      <c r="F8" s="26" t="s">
        <v>40</v>
      </c>
      <c r="G8" s="27" t="s">
        <v>25</v>
      </c>
      <c r="H8" s="26" t="s">
        <v>41</v>
      </c>
    </row>
    <row r="9" spans="1:8" s="2" customFormat="1" ht="75" x14ac:dyDescent="0.25">
      <c r="A9" s="24">
        <v>5</v>
      </c>
      <c r="B9" s="25" t="s">
        <v>42</v>
      </c>
      <c r="C9" s="26" t="s">
        <v>43</v>
      </c>
      <c r="D9" s="25" t="s">
        <v>44</v>
      </c>
      <c r="E9" s="25" t="s">
        <v>45</v>
      </c>
      <c r="F9" s="26" t="s">
        <v>46</v>
      </c>
      <c r="G9" s="27" t="s">
        <v>25</v>
      </c>
      <c r="H9" s="26" t="s">
        <v>47</v>
      </c>
    </row>
    <row r="10" spans="1:8" ht="30" x14ac:dyDescent="0.25">
      <c r="A10" s="24">
        <v>6</v>
      </c>
      <c r="B10" s="25" t="s">
        <v>48</v>
      </c>
      <c r="C10" s="25" t="s">
        <v>49</v>
      </c>
      <c r="D10" s="25" t="s">
        <v>50</v>
      </c>
      <c r="E10" s="25" t="s">
        <v>51</v>
      </c>
      <c r="F10" s="26" t="s">
        <v>33</v>
      </c>
      <c r="G10" s="27" t="s">
        <v>25</v>
      </c>
      <c r="H10" s="26" t="s">
        <v>52</v>
      </c>
    </row>
    <row r="11" spans="1:8" x14ac:dyDescent="0.25">
      <c r="C11"/>
      <c r="D11"/>
      <c r="E11"/>
      <c r="F11"/>
    </row>
    <row r="12" spans="1:8" x14ac:dyDescent="0.25">
      <c r="C12"/>
      <c r="D12"/>
      <c r="E12"/>
      <c r="F12"/>
    </row>
    <row r="13" spans="1:8" x14ac:dyDescent="0.25">
      <c r="C13"/>
      <c r="D13"/>
      <c r="E13"/>
      <c r="F13"/>
    </row>
    <row r="29" spans="1:12" ht="21" x14ac:dyDescent="0.35">
      <c r="C29"/>
      <c r="D29"/>
      <c r="E29"/>
      <c r="F29"/>
      <c r="K29" s="4"/>
      <c r="L29" s="4"/>
    </row>
    <row r="30" spans="1:12" x14ac:dyDescent="0.25">
      <c r="A30" s="2"/>
      <c r="B30" s="2"/>
      <c r="G30" s="2"/>
    </row>
    <row r="31" spans="1:12" ht="30.75" customHeight="1" x14ac:dyDescent="0.25">
      <c r="C31"/>
      <c r="D31"/>
      <c r="E31"/>
      <c r="F31"/>
    </row>
    <row r="32" spans="1:12" s="2" customFormat="1" ht="29.25" customHeight="1" x14ac:dyDescent="0.25">
      <c r="A32"/>
      <c r="B32"/>
      <c r="C32"/>
      <c r="D32"/>
      <c r="E32"/>
      <c r="F32"/>
      <c r="G32"/>
    </row>
    <row r="33" spans="1:7" x14ac:dyDescent="0.25">
      <c r="C33"/>
      <c r="D33"/>
      <c r="E33"/>
      <c r="F33"/>
    </row>
    <row r="34" spans="1:7" x14ac:dyDescent="0.25">
      <c r="C34"/>
      <c r="D34"/>
      <c r="E34"/>
      <c r="F34"/>
    </row>
    <row r="35" spans="1:7" x14ac:dyDescent="0.25">
      <c r="A35" s="2"/>
      <c r="B35" s="2"/>
      <c r="G35" s="2"/>
    </row>
    <row r="36" spans="1:7" ht="31.5" customHeight="1" x14ac:dyDescent="0.25">
      <c r="C36"/>
      <c r="D36"/>
      <c r="E36"/>
      <c r="F36"/>
    </row>
    <row r="37" spans="1:7" s="2" customFormat="1" x14ac:dyDescent="0.25">
      <c r="A37"/>
      <c r="B37"/>
      <c r="C37"/>
      <c r="D37"/>
      <c r="E37"/>
      <c r="F37"/>
      <c r="G37"/>
    </row>
    <row r="81" spans="13:13" x14ac:dyDescent="0.25">
      <c r="M81" s="3"/>
    </row>
  </sheetData>
  <autoFilter ref="A2:H2" xr:uid="{20E97B18-4656-4876-ABA1-B382BFB03473}"/>
  <mergeCells count="6">
    <mergeCell ref="A3:A5"/>
    <mergeCell ref="G3:G5"/>
    <mergeCell ref="H3:H5"/>
    <mergeCell ref="D4:D5"/>
    <mergeCell ref="C3:C5"/>
    <mergeCell ref="B3:B5"/>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1C6B8-3236-4A3D-99EA-47E1A2F8319A}">
  <dimension ref="A2:H4"/>
  <sheetViews>
    <sheetView workbookViewId="0">
      <selection activeCell="C5" sqref="C5"/>
    </sheetView>
  </sheetViews>
  <sheetFormatPr defaultRowHeight="15" x14ac:dyDescent="0.25"/>
  <cols>
    <col min="1" max="1" width="18.5703125" customWidth="1"/>
    <col min="2" max="2" width="41.140625" customWidth="1"/>
    <col min="3" max="3" width="50.42578125" customWidth="1"/>
    <col min="4" max="4" width="15.5703125" bestFit="1" customWidth="1"/>
    <col min="5" max="5" width="14.5703125" bestFit="1" customWidth="1"/>
    <col min="6" max="6" width="16" bestFit="1" customWidth="1"/>
    <col min="7" max="7" width="14.5703125" bestFit="1" customWidth="1"/>
    <col min="8" max="8" width="18.140625" bestFit="1" customWidth="1"/>
  </cols>
  <sheetData>
    <row r="2" spans="1:8" x14ac:dyDescent="0.25">
      <c r="A2" s="8" t="s">
        <v>0</v>
      </c>
      <c r="B2" s="9" t="s">
        <v>17</v>
      </c>
      <c r="C2" s="9" t="s">
        <v>2</v>
      </c>
      <c r="D2" s="10" t="s">
        <v>18</v>
      </c>
      <c r="E2" s="10" t="s">
        <v>19</v>
      </c>
      <c r="F2" s="10" t="s">
        <v>53</v>
      </c>
      <c r="G2" s="10" t="s">
        <v>3</v>
      </c>
      <c r="H2" s="9" t="s">
        <v>54</v>
      </c>
    </row>
    <row r="3" spans="1:8" x14ac:dyDescent="0.25">
      <c r="A3" s="6"/>
      <c r="B3" s="1"/>
      <c r="C3" s="1"/>
      <c r="D3" s="1"/>
      <c r="E3" s="1"/>
      <c r="F3" s="1"/>
      <c r="G3" s="1"/>
    </row>
    <row r="4" spans="1:8" ht="75" x14ac:dyDescent="0.25">
      <c r="A4" s="6">
        <v>1</v>
      </c>
      <c r="B4" s="1" t="s">
        <v>11</v>
      </c>
      <c r="C4" s="5" t="s">
        <v>12</v>
      </c>
      <c r="D4" s="5"/>
      <c r="E4" s="5"/>
      <c r="F4" s="5"/>
      <c r="G4" s="17" t="s">
        <v>25</v>
      </c>
      <c r="H4" s="1" t="s">
        <v>55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AE26-78B8-4822-A2FB-BCAB6E21D0F5}">
  <dimension ref="A1:H4"/>
  <sheetViews>
    <sheetView workbookViewId="0">
      <selection activeCell="C3" sqref="C3"/>
    </sheetView>
  </sheetViews>
  <sheetFormatPr defaultRowHeight="15" x14ac:dyDescent="0.25"/>
  <cols>
    <col min="1" max="1" width="9.42578125" bestFit="1" customWidth="1"/>
    <col min="2" max="2" width="28.5703125" bestFit="1" customWidth="1"/>
    <col min="3" max="3" width="57.42578125" customWidth="1"/>
    <col min="4" max="4" width="15.5703125" bestFit="1" customWidth="1"/>
    <col min="5" max="5" width="14.5703125" bestFit="1" customWidth="1"/>
    <col min="6" max="6" width="16" bestFit="1" customWidth="1"/>
    <col min="7" max="7" width="14.5703125" bestFit="1" customWidth="1"/>
    <col min="8" max="8" width="18.140625" bestFit="1" customWidth="1"/>
  </cols>
  <sheetData>
    <row r="1" spans="1:8" x14ac:dyDescent="0.25">
      <c r="A1" s="8" t="s">
        <v>0</v>
      </c>
      <c r="B1" s="9" t="s">
        <v>17</v>
      </c>
      <c r="C1" s="9" t="s">
        <v>2</v>
      </c>
      <c r="D1" s="9" t="s">
        <v>18</v>
      </c>
      <c r="E1" s="9" t="s">
        <v>19</v>
      </c>
      <c r="F1" s="9" t="s">
        <v>53</v>
      </c>
      <c r="G1" s="10" t="s">
        <v>3</v>
      </c>
      <c r="H1" s="9" t="s">
        <v>54</v>
      </c>
    </row>
    <row r="2" spans="1:8" x14ac:dyDescent="0.25">
      <c r="A2" s="6"/>
      <c r="B2" s="12"/>
      <c r="C2" s="12"/>
      <c r="D2" s="12"/>
      <c r="E2" s="12"/>
      <c r="F2" s="12"/>
      <c r="G2" s="12"/>
    </row>
    <row r="3" spans="1:8" ht="75" x14ac:dyDescent="0.25">
      <c r="A3" s="6">
        <v>1</v>
      </c>
      <c r="B3" s="1" t="s">
        <v>13</v>
      </c>
      <c r="C3" s="5" t="s">
        <v>56</v>
      </c>
      <c r="D3" s="5"/>
      <c r="E3" s="5"/>
      <c r="F3" s="5"/>
      <c r="G3" s="16" t="s">
        <v>25</v>
      </c>
      <c r="H3" s="1" t="s">
        <v>57</v>
      </c>
    </row>
    <row r="4" spans="1:8" ht="75" x14ac:dyDescent="0.25">
      <c r="A4" s="11">
        <v>2</v>
      </c>
      <c r="B4" s="1" t="s">
        <v>58</v>
      </c>
      <c r="C4" s="5" t="s">
        <v>59</v>
      </c>
      <c r="D4" s="1"/>
      <c r="E4" s="1"/>
      <c r="F4" s="1"/>
      <c r="G4" s="16" t="s">
        <v>25</v>
      </c>
      <c r="H4" s="1" t="s">
        <v>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7B4CF-8130-4201-A126-B1D0A28E9C89}">
  <dimension ref="A3:H15"/>
  <sheetViews>
    <sheetView zoomScale="81" zoomScaleNormal="55" workbookViewId="0">
      <selection activeCell="C11" sqref="C11"/>
    </sheetView>
  </sheetViews>
  <sheetFormatPr defaultRowHeight="15" x14ac:dyDescent="0.25"/>
  <cols>
    <col min="1" max="1" width="27.5703125" bestFit="1" customWidth="1"/>
    <col min="2" max="2" width="36" bestFit="1" customWidth="1"/>
    <col min="3" max="3" width="58.42578125" customWidth="1"/>
    <col min="4" max="4" width="23.5703125" customWidth="1"/>
    <col min="5" max="5" width="20.5703125" customWidth="1"/>
    <col min="6" max="6" width="28.5703125" customWidth="1"/>
    <col min="7" max="7" width="20.85546875" customWidth="1"/>
    <col min="8" max="8" width="36.42578125" bestFit="1" customWidth="1"/>
    <col min="9" max="9" width="35.140625" bestFit="1" customWidth="1"/>
    <col min="10" max="10" width="30.42578125" customWidth="1"/>
  </cols>
  <sheetData>
    <row r="3" spans="1:8" x14ac:dyDescent="0.25">
      <c r="A3" s="20" t="s">
        <v>0</v>
      </c>
      <c r="B3" s="18" t="s">
        <v>17</v>
      </c>
      <c r="C3" s="18" t="s">
        <v>2</v>
      </c>
      <c r="D3" s="18" t="s">
        <v>18</v>
      </c>
      <c r="E3" s="18" t="s">
        <v>19</v>
      </c>
      <c r="F3" s="18" t="s">
        <v>53</v>
      </c>
      <c r="G3" s="18" t="s">
        <v>3</v>
      </c>
      <c r="H3" s="18" t="s">
        <v>54</v>
      </c>
    </row>
    <row r="4" spans="1:8" ht="59.45" customHeight="1" x14ac:dyDescent="0.25">
      <c r="A4" s="298">
        <v>1</v>
      </c>
      <c r="B4" s="301" t="s">
        <v>61</v>
      </c>
      <c r="C4" s="29" t="s">
        <v>62</v>
      </c>
      <c r="D4" s="304" t="s">
        <v>63</v>
      </c>
      <c r="E4" s="305" t="s">
        <v>64</v>
      </c>
      <c r="F4" s="305" t="s">
        <v>65</v>
      </c>
      <c r="G4" s="30" t="s">
        <v>25</v>
      </c>
      <c r="H4" s="28" t="s">
        <v>66</v>
      </c>
    </row>
    <row r="5" spans="1:8" ht="60" x14ac:dyDescent="0.25">
      <c r="A5" s="299"/>
      <c r="B5" s="302"/>
      <c r="C5" s="29" t="s">
        <v>67</v>
      </c>
      <c r="D5" s="302"/>
      <c r="E5" s="305"/>
      <c r="F5" s="305"/>
      <c r="G5" s="30" t="s">
        <v>25</v>
      </c>
      <c r="H5" s="28" t="s">
        <v>68</v>
      </c>
    </row>
    <row r="6" spans="1:8" ht="60" x14ac:dyDescent="0.25">
      <c r="A6" s="299"/>
      <c r="B6" s="302"/>
      <c r="C6" s="29" t="s">
        <v>69</v>
      </c>
      <c r="D6" s="302"/>
      <c r="E6" s="305" t="s">
        <v>70</v>
      </c>
      <c r="F6" s="306" t="s">
        <v>71</v>
      </c>
      <c r="G6" s="30" t="s">
        <v>25</v>
      </c>
      <c r="H6" s="28" t="s">
        <v>72</v>
      </c>
    </row>
    <row r="7" spans="1:8" ht="60" x14ac:dyDescent="0.25">
      <c r="A7" s="300"/>
      <c r="B7" s="303"/>
      <c r="C7" s="29" t="s">
        <v>73</v>
      </c>
      <c r="D7" s="303"/>
      <c r="E7" s="305"/>
      <c r="F7" s="306"/>
      <c r="G7" s="30" t="s">
        <v>25</v>
      </c>
      <c r="H7" s="28" t="s">
        <v>74</v>
      </c>
    </row>
    <row r="8" spans="1:8" ht="30" x14ac:dyDescent="0.25">
      <c r="A8" s="298">
        <v>2</v>
      </c>
      <c r="B8" s="304" t="s">
        <v>75</v>
      </c>
      <c r="C8" s="29" t="s">
        <v>76</v>
      </c>
      <c r="D8" s="301" t="s">
        <v>77</v>
      </c>
      <c r="E8" s="301" t="s">
        <v>78</v>
      </c>
      <c r="F8" s="29" t="s">
        <v>24</v>
      </c>
      <c r="G8" s="30" t="s">
        <v>25</v>
      </c>
      <c r="H8" s="28" t="s">
        <v>79</v>
      </c>
    </row>
    <row r="9" spans="1:8" ht="30" x14ac:dyDescent="0.25">
      <c r="A9" s="299"/>
      <c r="B9" s="302"/>
      <c r="C9" s="29" t="s">
        <v>80</v>
      </c>
      <c r="D9" s="307"/>
      <c r="E9" s="307"/>
      <c r="F9" s="29"/>
      <c r="G9" s="30" t="s">
        <v>25</v>
      </c>
      <c r="H9" s="28" t="s">
        <v>81</v>
      </c>
    </row>
    <row r="10" spans="1:8" ht="30" x14ac:dyDescent="0.25">
      <c r="A10" s="299"/>
      <c r="B10" s="302"/>
      <c r="C10" s="29" t="s">
        <v>82</v>
      </c>
      <c r="D10" s="307"/>
      <c r="E10" s="308"/>
      <c r="F10" s="29"/>
      <c r="G10" s="30" t="s">
        <v>25</v>
      </c>
      <c r="H10" s="28" t="s">
        <v>83</v>
      </c>
    </row>
    <row r="11" spans="1:8" ht="30" x14ac:dyDescent="0.25">
      <c r="A11" s="299"/>
      <c r="B11" s="302"/>
      <c r="C11" s="29" t="s">
        <v>84</v>
      </c>
      <c r="D11" s="307"/>
      <c r="E11" s="301" t="s">
        <v>85</v>
      </c>
      <c r="F11" s="29"/>
      <c r="G11" s="30" t="s">
        <v>25</v>
      </c>
      <c r="H11" s="28" t="s">
        <v>86</v>
      </c>
    </row>
    <row r="12" spans="1:8" ht="30" x14ac:dyDescent="0.25">
      <c r="A12" s="299"/>
      <c r="B12" s="302"/>
      <c r="C12" s="29" t="s">
        <v>87</v>
      </c>
      <c r="D12" s="307"/>
      <c r="E12" s="307"/>
      <c r="F12" s="29"/>
      <c r="G12" s="30" t="s">
        <v>25</v>
      </c>
      <c r="H12" s="28" t="s">
        <v>88</v>
      </c>
    </row>
    <row r="13" spans="1:8" ht="30" x14ac:dyDescent="0.25">
      <c r="A13" s="299"/>
      <c r="B13" s="302"/>
      <c r="C13" s="29" t="s">
        <v>89</v>
      </c>
      <c r="D13" s="307"/>
      <c r="E13" s="307"/>
      <c r="F13" s="29"/>
      <c r="G13" s="30" t="s">
        <v>25</v>
      </c>
      <c r="H13" s="28" t="s">
        <v>90</v>
      </c>
    </row>
    <row r="14" spans="1:8" ht="45" x14ac:dyDescent="0.25">
      <c r="A14" s="300"/>
      <c r="B14" s="303"/>
      <c r="C14" s="29" t="s">
        <v>91</v>
      </c>
      <c r="D14" s="308"/>
      <c r="E14" s="308"/>
      <c r="F14" s="29"/>
      <c r="G14" s="30" t="s">
        <v>25</v>
      </c>
      <c r="H14" s="28" t="s">
        <v>92</v>
      </c>
    </row>
    <row r="15" spans="1:8" ht="45" x14ac:dyDescent="0.25">
      <c r="A15" s="31">
        <v>3</v>
      </c>
      <c r="B15" s="28" t="s">
        <v>93</v>
      </c>
      <c r="C15" s="29" t="s">
        <v>94</v>
      </c>
      <c r="D15" s="28" t="s">
        <v>44</v>
      </c>
      <c r="E15" s="28" t="s">
        <v>45</v>
      </c>
      <c r="F15" s="29" t="s">
        <v>46</v>
      </c>
      <c r="G15" s="30" t="s">
        <v>25</v>
      </c>
      <c r="H15" s="28" t="s">
        <v>95</v>
      </c>
    </row>
  </sheetData>
  <autoFilter ref="A3:H3" xr:uid="{01618884-C610-457E-93ED-D0415566E7C8}"/>
  <mergeCells count="12">
    <mergeCell ref="A8:A14"/>
    <mergeCell ref="B8:B14"/>
    <mergeCell ref="D8:D14"/>
    <mergeCell ref="E8:E10"/>
    <mergeCell ref="E11:E14"/>
    <mergeCell ref="A4:A7"/>
    <mergeCell ref="B4:B7"/>
    <mergeCell ref="D4:D7"/>
    <mergeCell ref="E4:E5"/>
    <mergeCell ref="F4:F5"/>
    <mergeCell ref="E6:E7"/>
    <mergeCell ref="F6:F7"/>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8884-C610-457E-93ED-D0415566E7C8}">
  <dimension ref="A1:H9"/>
  <sheetViews>
    <sheetView topLeftCell="D1" zoomScale="81" zoomScaleNormal="55" workbookViewId="0">
      <selection activeCell="H2" sqref="H2"/>
    </sheetView>
  </sheetViews>
  <sheetFormatPr defaultColWidth="8.85546875" defaultRowHeight="45.6" customHeight="1" x14ac:dyDescent="0.25"/>
  <cols>
    <col min="1" max="1" width="27.5703125" style="44" bestFit="1" customWidth="1"/>
    <col min="2" max="2" width="44.5703125" style="44" customWidth="1"/>
    <col min="3" max="3" width="58.42578125" style="44" customWidth="1"/>
    <col min="4" max="4" width="26.42578125" style="44" bestFit="1" customWidth="1"/>
    <col min="5" max="5" width="20.5703125" style="44" customWidth="1"/>
    <col min="6" max="6" width="28.5703125" style="44" customWidth="1"/>
    <col min="7" max="7" width="20.85546875" style="44" customWidth="1"/>
    <col min="8" max="8" width="36.42578125" style="44" bestFit="1" customWidth="1"/>
    <col min="9" max="9" width="35.140625" style="44" bestFit="1" customWidth="1"/>
    <col min="10" max="10" width="30.42578125" style="44" customWidth="1"/>
    <col min="11" max="16384" width="8.85546875" style="44"/>
  </cols>
  <sheetData>
    <row r="1" spans="1:8" ht="35.450000000000003" customHeight="1" x14ac:dyDescent="0.35">
      <c r="A1" s="50" t="s">
        <v>0</v>
      </c>
      <c r="B1" s="51" t="s">
        <v>17</v>
      </c>
      <c r="C1" s="51" t="s">
        <v>2</v>
      </c>
      <c r="D1" s="51" t="s">
        <v>18</v>
      </c>
      <c r="E1" s="51" t="s">
        <v>19</v>
      </c>
      <c r="F1" s="51" t="s">
        <v>53</v>
      </c>
      <c r="G1" s="51" t="s">
        <v>3</v>
      </c>
      <c r="H1" s="51" t="s">
        <v>54</v>
      </c>
    </row>
    <row r="2" spans="1:8" ht="87.6" customHeight="1" x14ac:dyDescent="0.25">
      <c r="A2" s="31" t="s">
        <v>96</v>
      </c>
      <c r="B2" s="29" t="s">
        <v>97</v>
      </c>
      <c r="C2" s="29" t="s">
        <v>98</v>
      </c>
      <c r="D2" s="28" t="s">
        <v>99</v>
      </c>
      <c r="E2" s="28" t="s">
        <v>100</v>
      </c>
      <c r="F2" s="29"/>
      <c r="G2" s="34" t="s">
        <v>6</v>
      </c>
      <c r="H2" s="28" t="s">
        <v>101</v>
      </c>
    </row>
    <row r="3" spans="1:8" ht="45.6" customHeight="1" x14ac:dyDescent="0.25">
      <c r="A3" s="298" t="s">
        <v>102</v>
      </c>
      <c r="B3" s="304" t="s">
        <v>75</v>
      </c>
      <c r="C3" s="29" t="s">
        <v>76</v>
      </c>
      <c r="D3" s="301" t="s">
        <v>77</v>
      </c>
      <c r="E3" s="301" t="s">
        <v>78</v>
      </c>
      <c r="F3" s="29" t="s">
        <v>24</v>
      </c>
      <c r="G3" s="34" t="s">
        <v>6</v>
      </c>
      <c r="H3" s="28" t="s">
        <v>79</v>
      </c>
    </row>
    <row r="4" spans="1:8" ht="45.6" customHeight="1" x14ac:dyDescent="0.25">
      <c r="A4" s="299"/>
      <c r="B4" s="302"/>
      <c r="C4" s="29" t="s">
        <v>80</v>
      </c>
      <c r="D4" s="307"/>
      <c r="E4" s="307"/>
      <c r="F4" s="29"/>
      <c r="G4" s="30" t="s">
        <v>25</v>
      </c>
      <c r="H4" s="28" t="s">
        <v>81</v>
      </c>
    </row>
    <row r="5" spans="1:8" ht="45.6" customHeight="1" x14ac:dyDescent="0.25">
      <c r="A5" s="299"/>
      <c r="B5" s="302"/>
      <c r="C5" s="29" t="s">
        <v>82</v>
      </c>
      <c r="D5" s="307"/>
      <c r="E5" s="308"/>
      <c r="F5" s="29"/>
      <c r="G5" s="30" t="s">
        <v>25</v>
      </c>
      <c r="H5" s="28" t="s">
        <v>83</v>
      </c>
    </row>
    <row r="6" spans="1:8" ht="45.6" customHeight="1" x14ac:dyDescent="0.25">
      <c r="A6" s="299"/>
      <c r="B6" s="302"/>
      <c r="C6" s="29" t="s">
        <v>84</v>
      </c>
      <c r="D6" s="307"/>
      <c r="E6" s="301" t="s">
        <v>85</v>
      </c>
      <c r="F6" s="29"/>
      <c r="G6" s="30" t="s">
        <v>25</v>
      </c>
      <c r="H6" s="28" t="s">
        <v>86</v>
      </c>
    </row>
    <row r="7" spans="1:8" ht="45.6" customHeight="1" x14ac:dyDescent="0.25">
      <c r="A7" s="299"/>
      <c r="B7" s="302"/>
      <c r="C7" s="29" t="s">
        <v>87</v>
      </c>
      <c r="D7" s="307"/>
      <c r="E7" s="307"/>
      <c r="F7" s="29"/>
      <c r="G7" s="30" t="s">
        <v>25</v>
      </c>
      <c r="H7" s="28" t="s">
        <v>88</v>
      </c>
    </row>
    <row r="8" spans="1:8" ht="45.6" customHeight="1" x14ac:dyDescent="0.25">
      <c r="A8" s="299"/>
      <c r="B8" s="302"/>
      <c r="C8" s="29" t="s">
        <v>89</v>
      </c>
      <c r="D8" s="307"/>
      <c r="E8" s="307"/>
      <c r="F8" s="29"/>
      <c r="G8" s="30" t="s">
        <v>25</v>
      </c>
      <c r="H8" s="28" t="s">
        <v>90</v>
      </c>
    </row>
    <row r="9" spans="1:8" ht="45.6" customHeight="1" x14ac:dyDescent="0.25">
      <c r="A9" s="300"/>
      <c r="B9" s="303"/>
      <c r="C9" s="29" t="s">
        <v>91</v>
      </c>
      <c r="D9" s="308"/>
      <c r="E9" s="308"/>
      <c r="F9" s="29"/>
      <c r="G9" s="30" t="s">
        <v>25</v>
      </c>
      <c r="H9" s="28" t="s">
        <v>92</v>
      </c>
    </row>
  </sheetData>
  <autoFilter ref="A1:H1" xr:uid="{01618884-C610-457E-93ED-D0415566E7C8}"/>
  <mergeCells count="5">
    <mergeCell ref="A3:A9"/>
    <mergeCell ref="B3:B9"/>
    <mergeCell ref="D3:D9"/>
    <mergeCell ref="E6:E9"/>
    <mergeCell ref="E3:E5"/>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17E4-2D9B-4B74-A45D-FD1E1AC86007}">
  <dimension ref="A1:H3"/>
  <sheetViews>
    <sheetView workbookViewId="0">
      <selection activeCell="H3" sqref="H3"/>
    </sheetView>
  </sheetViews>
  <sheetFormatPr defaultRowHeight="15" x14ac:dyDescent="0.25"/>
  <cols>
    <col min="1" max="1" width="9.42578125" bestFit="1" customWidth="1"/>
    <col min="2" max="2" width="18.42578125" bestFit="1" customWidth="1"/>
    <col min="3" max="3" width="98.5703125" bestFit="1" customWidth="1"/>
    <col min="4" max="4" width="15.5703125" bestFit="1" customWidth="1"/>
    <col min="5" max="5" width="14.5703125" bestFit="1" customWidth="1"/>
    <col min="6" max="6" width="16" bestFit="1" customWidth="1"/>
    <col min="7" max="7" width="14.5703125" bestFit="1" customWidth="1"/>
    <col min="8" max="8" width="18.140625" bestFit="1" customWidth="1"/>
  </cols>
  <sheetData>
    <row r="1" spans="1:8" x14ac:dyDescent="0.25">
      <c r="A1" s="8" t="s">
        <v>0</v>
      </c>
      <c r="B1" s="9" t="s">
        <v>17</v>
      </c>
      <c r="C1" s="9" t="s">
        <v>2</v>
      </c>
      <c r="D1" s="9" t="s">
        <v>18</v>
      </c>
      <c r="E1" s="9" t="s">
        <v>19</v>
      </c>
      <c r="F1" s="9" t="s">
        <v>53</v>
      </c>
      <c r="G1" s="10" t="s">
        <v>3</v>
      </c>
      <c r="H1" s="9" t="s">
        <v>54</v>
      </c>
    </row>
    <row r="2" spans="1:8" x14ac:dyDescent="0.25">
      <c r="A2" s="6"/>
      <c r="B2" s="12"/>
      <c r="C2" s="12"/>
      <c r="D2" s="12"/>
      <c r="E2" s="12"/>
      <c r="F2" s="12"/>
      <c r="G2" s="12"/>
    </row>
    <row r="3" spans="1:8" ht="45" x14ac:dyDescent="0.25">
      <c r="A3" s="11">
        <v>1</v>
      </c>
      <c r="B3" s="1" t="s">
        <v>103</v>
      </c>
      <c r="C3" s="5" t="s">
        <v>104</v>
      </c>
      <c r="D3" s="1"/>
      <c r="E3" s="1"/>
      <c r="F3" s="1"/>
      <c r="G3" s="16" t="s">
        <v>25</v>
      </c>
      <c r="H3" s="1" t="s">
        <v>105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85EB-CF98-45F0-9665-701763841AEC}">
  <dimension ref="A1:H3"/>
  <sheetViews>
    <sheetView workbookViewId="0">
      <selection activeCell="C7" sqref="C7"/>
    </sheetView>
  </sheetViews>
  <sheetFormatPr defaultRowHeight="15" x14ac:dyDescent="0.25"/>
  <cols>
    <col min="1" max="1" width="9.42578125" bestFit="1" customWidth="1"/>
    <col min="2" max="2" width="18.42578125" bestFit="1" customWidth="1"/>
    <col min="3" max="3" width="49.140625" bestFit="1" customWidth="1"/>
    <col min="4" max="4" width="15.5703125" bestFit="1" customWidth="1"/>
    <col min="5" max="5" width="14.5703125" bestFit="1" customWidth="1"/>
    <col min="6" max="6" width="16" bestFit="1" customWidth="1"/>
    <col min="7" max="7" width="14.5703125" bestFit="1" customWidth="1"/>
    <col min="8" max="8" width="18.140625" bestFit="1" customWidth="1"/>
  </cols>
  <sheetData>
    <row r="1" spans="1:8" x14ac:dyDescent="0.25">
      <c r="A1" s="8" t="s">
        <v>0</v>
      </c>
      <c r="B1" s="9" t="s">
        <v>17</v>
      </c>
      <c r="C1" s="9" t="s">
        <v>2</v>
      </c>
      <c r="D1" s="9" t="s">
        <v>18</v>
      </c>
      <c r="E1" s="9" t="s">
        <v>19</v>
      </c>
      <c r="F1" s="9" t="s">
        <v>53</v>
      </c>
      <c r="G1" s="10" t="s">
        <v>3</v>
      </c>
      <c r="H1" s="9" t="s">
        <v>54</v>
      </c>
    </row>
    <row r="2" spans="1:8" x14ac:dyDescent="0.25">
      <c r="A2" s="6"/>
      <c r="B2" s="12"/>
      <c r="C2" s="12"/>
      <c r="D2" s="12"/>
      <c r="E2" s="12"/>
      <c r="F2" s="12"/>
      <c r="G2" s="12"/>
    </row>
    <row r="3" spans="1:8" ht="69.599999999999994" customHeight="1" x14ac:dyDescent="0.25">
      <c r="A3" s="11">
        <v>1</v>
      </c>
      <c r="B3" s="1" t="s">
        <v>106</v>
      </c>
      <c r="C3" s="5" t="s">
        <v>107</v>
      </c>
      <c r="D3" s="1"/>
      <c r="E3" s="1"/>
      <c r="F3" s="1"/>
      <c r="G3" s="16" t="s">
        <v>25</v>
      </c>
      <c r="H3" s="1" t="s">
        <v>108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2D85-8C8A-415A-B581-D34CB2F89629}">
  <dimension ref="A1:H3"/>
  <sheetViews>
    <sheetView workbookViewId="0">
      <selection activeCell="F11" sqref="F11"/>
    </sheetView>
  </sheetViews>
  <sheetFormatPr defaultRowHeight="15" x14ac:dyDescent="0.25"/>
  <cols>
    <col min="1" max="1" width="9.42578125" bestFit="1" customWidth="1"/>
    <col min="2" max="2" width="18.42578125" bestFit="1" customWidth="1"/>
    <col min="3" max="3" width="45.5703125" customWidth="1"/>
    <col min="4" max="4" width="15.5703125" bestFit="1" customWidth="1"/>
    <col min="5" max="5" width="14.5703125" bestFit="1" customWidth="1"/>
    <col min="6" max="6" width="16" bestFit="1" customWidth="1"/>
    <col min="7" max="7" width="14.5703125" bestFit="1" customWidth="1"/>
    <col min="8" max="8" width="18.140625" bestFit="1" customWidth="1"/>
  </cols>
  <sheetData>
    <row r="1" spans="1:8" x14ac:dyDescent="0.25">
      <c r="A1" s="8" t="s">
        <v>0</v>
      </c>
      <c r="B1" s="9" t="s">
        <v>17</v>
      </c>
      <c r="C1" s="9" t="s">
        <v>2</v>
      </c>
      <c r="D1" s="9" t="s">
        <v>18</v>
      </c>
      <c r="E1" s="9" t="s">
        <v>19</v>
      </c>
      <c r="F1" s="9" t="s">
        <v>53</v>
      </c>
      <c r="G1" s="10" t="s">
        <v>3</v>
      </c>
      <c r="H1" s="9" t="s">
        <v>54</v>
      </c>
    </row>
    <row r="2" spans="1:8" x14ac:dyDescent="0.25">
      <c r="A2" s="6"/>
      <c r="B2" s="12"/>
      <c r="C2" s="12"/>
      <c r="D2" s="12"/>
      <c r="E2" s="12"/>
      <c r="F2" s="12"/>
      <c r="G2" s="12"/>
    </row>
    <row r="3" spans="1:8" ht="60" x14ac:dyDescent="0.25">
      <c r="A3" s="11">
        <v>1</v>
      </c>
      <c r="B3" s="1" t="s">
        <v>109</v>
      </c>
      <c r="C3" s="5" t="s">
        <v>110</v>
      </c>
      <c r="D3" s="1"/>
      <c r="E3" s="1"/>
      <c r="F3" s="1"/>
      <c r="G3" s="16" t="s">
        <v>25</v>
      </c>
      <c r="H3" s="1" t="s">
        <v>111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FEE5C-C946-468A-8E69-33EEA0C188AB}">
  <dimension ref="A1:H3"/>
  <sheetViews>
    <sheetView workbookViewId="0">
      <selection activeCell="G20" sqref="G20"/>
    </sheetView>
  </sheetViews>
  <sheetFormatPr defaultRowHeight="15" x14ac:dyDescent="0.25"/>
  <cols>
    <col min="1" max="1" width="9.42578125" bestFit="1" customWidth="1"/>
    <col min="2" max="2" width="15" bestFit="1" customWidth="1"/>
    <col min="3" max="3" width="48.42578125" customWidth="1"/>
    <col min="4" max="4" width="15.5703125" bestFit="1" customWidth="1"/>
    <col min="5" max="5" width="14.5703125" bestFit="1" customWidth="1"/>
    <col min="6" max="6" width="16" bestFit="1" customWidth="1"/>
    <col min="7" max="7" width="14.5703125" bestFit="1" customWidth="1"/>
    <col min="8" max="8" width="18.140625" bestFit="1" customWidth="1"/>
  </cols>
  <sheetData>
    <row r="1" spans="1:8" x14ac:dyDescent="0.25">
      <c r="A1" s="8" t="s">
        <v>0</v>
      </c>
      <c r="B1" s="9" t="s">
        <v>17</v>
      </c>
      <c r="C1" s="9" t="s">
        <v>2</v>
      </c>
      <c r="D1" s="9" t="s">
        <v>18</v>
      </c>
      <c r="E1" s="9" t="s">
        <v>19</v>
      </c>
      <c r="F1" s="9" t="s">
        <v>53</v>
      </c>
      <c r="G1" s="10" t="s">
        <v>3</v>
      </c>
      <c r="H1" s="9" t="s">
        <v>54</v>
      </c>
    </row>
    <row r="2" spans="1:8" x14ac:dyDescent="0.25">
      <c r="A2" s="6"/>
      <c r="B2" s="12"/>
      <c r="C2" s="12"/>
      <c r="D2" s="12"/>
      <c r="E2" s="12"/>
      <c r="F2" s="12"/>
      <c r="G2" s="12"/>
    </row>
    <row r="3" spans="1:8" ht="65.45" customHeight="1" x14ac:dyDescent="0.25">
      <c r="A3" s="11">
        <v>1</v>
      </c>
      <c r="B3" s="1" t="s">
        <v>112</v>
      </c>
      <c r="C3" s="5" t="s">
        <v>113</v>
      </c>
      <c r="D3" s="1"/>
      <c r="E3" s="1"/>
      <c r="F3" s="1"/>
      <c r="G3" s="16" t="s">
        <v>25</v>
      </c>
      <c r="H3" s="1" t="s">
        <v>114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3B253-4897-465F-8787-287F13013AE6}">
  <dimension ref="C4:S59"/>
  <sheetViews>
    <sheetView topLeftCell="G12" zoomScaleNormal="70" workbookViewId="0">
      <selection activeCell="Q9" sqref="Q9:S11"/>
    </sheetView>
  </sheetViews>
  <sheetFormatPr defaultRowHeight="15" x14ac:dyDescent="0.25"/>
  <cols>
    <col min="3" max="3" width="7.42578125" bestFit="1" customWidth="1"/>
    <col min="4" max="4" width="19.140625" bestFit="1" customWidth="1"/>
    <col min="5" max="5" width="20.140625" bestFit="1" customWidth="1"/>
    <col min="6" max="6" width="11.5703125" bestFit="1" customWidth="1"/>
    <col min="7" max="7" width="9.42578125" bestFit="1" customWidth="1"/>
    <col min="8" max="8" width="16.42578125" bestFit="1" customWidth="1"/>
    <col min="9" max="9" width="9.42578125" bestFit="1" customWidth="1"/>
    <col min="10" max="10" width="13.85546875" bestFit="1" customWidth="1"/>
    <col min="11" max="11" width="4.42578125" customWidth="1"/>
    <col min="12" max="12" width="25.42578125" bestFit="1" customWidth="1"/>
    <col min="13" max="13" width="19.42578125" bestFit="1" customWidth="1"/>
    <col min="14" max="14" width="108.85546875" bestFit="1" customWidth="1"/>
    <col min="15" max="15" width="27.140625" bestFit="1" customWidth="1"/>
    <col min="16" max="16" width="26.5703125" bestFit="1" customWidth="1"/>
    <col min="18" max="18" width="8" bestFit="1" customWidth="1"/>
    <col min="19" max="19" width="17.140625" bestFit="1" customWidth="1"/>
  </cols>
  <sheetData>
    <row r="4" spans="3:19" x14ac:dyDescent="0.25">
      <c r="L4" t="s">
        <v>115</v>
      </c>
    </row>
    <row r="6" spans="3:19" ht="30" x14ac:dyDescent="0.25">
      <c r="C6" s="32" t="s">
        <v>116</v>
      </c>
      <c r="D6" s="32" t="s">
        <v>117</v>
      </c>
      <c r="E6" s="33" t="s">
        <v>118</v>
      </c>
      <c r="F6" s="32" t="s">
        <v>119</v>
      </c>
      <c r="G6" s="32" t="s">
        <v>120</v>
      </c>
      <c r="H6" s="32" t="s">
        <v>121</v>
      </c>
      <c r="I6" s="32" t="s">
        <v>122</v>
      </c>
      <c r="J6" s="32" t="s">
        <v>123</v>
      </c>
      <c r="K6" s="32" t="s">
        <v>124</v>
      </c>
      <c r="L6" s="33" t="s">
        <v>125</v>
      </c>
      <c r="M6" s="33" t="s">
        <v>126</v>
      </c>
      <c r="N6" s="32" t="s">
        <v>2</v>
      </c>
      <c r="O6" s="33" t="s">
        <v>127</v>
      </c>
      <c r="P6" s="33" t="s">
        <v>54</v>
      </c>
    </row>
    <row r="7" spans="3:19" x14ac:dyDescent="0.25">
      <c r="C7" s="305">
        <v>1</v>
      </c>
      <c r="D7" s="34">
        <v>1</v>
      </c>
      <c r="E7" s="34">
        <v>1</v>
      </c>
      <c r="F7" s="34">
        <v>5</v>
      </c>
      <c r="G7" s="310">
        <v>0</v>
      </c>
      <c r="H7" s="34">
        <v>0</v>
      </c>
      <c r="I7" s="34">
        <v>0</v>
      </c>
      <c r="J7" s="34">
        <v>2</v>
      </c>
      <c r="K7" s="34">
        <v>0</v>
      </c>
      <c r="L7" s="34">
        <v>182</v>
      </c>
      <c r="M7" s="34">
        <v>91</v>
      </c>
      <c r="N7" s="325" t="s">
        <v>128</v>
      </c>
      <c r="O7" s="313" t="s">
        <v>129</v>
      </c>
      <c r="P7" s="305" t="s">
        <v>130</v>
      </c>
    </row>
    <row r="8" spans="3:19" x14ac:dyDescent="0.25">
      <c r="C8" s="305"/>
      <c r="D8" s="34">
        <v>2</v>
      </c>
      <c r="E8" s="34">
        <v>1</v>
      </c>
      <c r="F8" s="34">
        <v>0</v>
      </c>
      <c r="G8" s="312"/>
      <c r="H8" s="34">
        <v>0</v>
      </c>
      <c r="I8" s="34">
        <v>0</v>
      </c>
      <c r="J8" s="34">
        <v>2</v>
      </c>
      <c r="K8" s="34">
        <v>0</v>
      </c>
      <c r="L8" s="34">
        <v>0</v>
      </c>
      <c r="M8" s="34">
        <v>91</v>
      </c>
      <c r="N8" s="325"/>
      <c r="O8" s="313"/>
      <c r="P8" s="305"/>
    </row>
    <row r="9" spans="3:19" x14ac:dyDescent="0.25">
      <c r="C9" s="305"/>
      <c r="D9" s="35">
        <v>1</v>
      </c>
      <c r="E9" s="35">
        <v>1</v>
      </c>
      <c r="F9" s="35">
        <v>0</v>
      </c>
      <c r="G9" s="315">
        <v>0</v>
      </c>
      <c r="H9" s="35">
        <v>0</v>
      </c>
      <c r="I9" s="35">
        <v>0</v>
      </c>
      <c r="J9" s="35" t="s">
        <v>131</v>
      </c>
      <c r="K9" s="39">
        <v>0</v>
      </c>
      <c r="L9" s="35">
        <v>0</v>
      </c>
      <c r="M9" s="35">
        <v>91</v>
      </c>
      <c r="N9" s="314" t="s">
        <v>132</v>
      </c>
      <c r="O9" s="313"/>
      <c r="P9" s="305"/>
      <c r="Q9" s="37"/>
      <c r="R9" s="2" t="s">
        <v>133</v>
      </c>
      <c r="S9" t="s">
        <v>134</v>
      </c>
    </row>
    <row r="10" spans="3:19" x14ac:dyDescent="0.25">
      <c r="C10" s="305"/>
      <c r="D10" s="35">
        <v>2</v>
      </c>
      <c r="E10" s="35">
        <v>1</v>
      </c>
      <c r="F10" s="35">
        <v>5</v>
      </c>
      <c r="G10" s="318"/>
      <c r="H10" s="35">
        <v>0</v>
      </c>
      <c r="I10" s="35">
        <v>0</v>
      </c>
      <c r="J10" s="35" t="s">
        <v>131</v>
      </c>
      <c r="K10" s="39">
        <v>0</v>
      </c>
      <c r="L10" s="35">
        <v>182</v>
      </c>
      <c r="M10" s="35">
        <v>91</v>
      </c>
      <c r="N10" s="314"/>
      <c r="O10" s="313"/>
      <c r="P10" s="305"/>
    </row>
    <row r="11" spans="3:19" x14ac:dyDescent="0.25">
      <c r="C11" s="305"/>
      <c r="D11" s="35">
        <v>3</v>
      </c>
      <c r="E11" s="35">
        <v>1</v>
      </c>
      <c r="F11" s="35">
        <v>0</v>
      </c>
      <c r="G11" s="318"/>
      <c r="H11" s="35">
        <v>1</v>
      </c>
      <c r="I11" s="35">
        <v>0</v>
      </c>
      <c r="J11" s="35" t="s">
        <v>131</v>
      </c>
      <c r="K11" s="39">
        <v>0</v>
      </c>
      <c r="L11" s="35">
        <v>0</v>
      </c>
      <c r="M11" s="35">
        <v>91</v>
      </c>
      <c r="N11" s="314"/>
      <c r="O11" s="313"/>
      <c r="P11" s="305"/>
      <c r="Q11" s="38"/>
      <c r="R11" s="2" t="s">
        <v>133</v>
      </c>
      <c r="S11" t="s">
        <v>135</v>
      </c>
    </row>
    <row r="12" spans="3:19" x14ac:dyDescent="0.25">
      <c r="C12" s="305"/>
      <c r="D12" s="35">
        <v>4</v>
      </c>
      <c r="E12" s="35">
        <v>1</v>
      </c>
      <c r="F12" s="35">
        <v>5</v>
      </c>
      <c r="G12" s="316"/>
      <c r="H12" s="35">
        <v>1</v>
      </c>
      <c r="I12" s="35">
        <v>0</v>
      </c>
      <c r="J12" s="35" t="s">
        <v>131</v>
      </c>
      <c r="K12" s="39">
        <v>0</v>
      </c>
      <c r="L12" s="35">
        <v>182</v>
      </c>
      <c r="M12" s="35">
        <v>91</v>
      </c>
      <c r="N12" s="314"/>
      <c r="O12" s="313"/>
      <c r="P12" s="305"/>
    </row>
    <row r="13" spans="3:19" x14ac:dyDescent="0.25">
      <c r="C13" s="304">
        <v>2</v>
      </c>
      <c r="D13" s="34">
        <v>1</v>
      </c>
      <c r="E13" s="34">
        <v>1</v>
      </c>
      <c r="F13" s="34">
        <v>0</v>
      </c>
      <c r="G13" s="34">
        <v>1</v>
      </c>
      <c r="H13" s="34">
        <v>5</v>
      </c>
      <c r="I13" s="34">
        <v>0</v>
      </c>
      <c r="J13" s="34">
        <v>3</v>
      </c>
      <c r="K13" s="34">
        <v>0</v>
      </c>
      <c r="L13" s="34">
        <v>0</v>
      </c>
      <c r="M13" s="34">
        <v>273</v>
      </c>
      <c r="N13" s="34" t="s">
        <v>136</v>
      </c>
      <c r="O13" s="322" t="s">
        <v>137</v>
      </c>
      <c r="P13" s="305"/>
    </row>
    <row r="14" spans="3:19" x14ac:dyDescent="0.25">
      <c r="C14" s="302"/>
      <c r="D14" s="35">
        <v>1</v>
      </c>
      <c r="E14" s="35">
        <v>1</v>
      </c>
      <c r="F14" s="35">
        <v>0</v>
      </c>
      <c r="G14" s="315">
        <v>1</v>
      </c>
      <c r="H14" s="35">
        <v>5</v>
      </c>
      <c r="I14" s="39">
        <v>0</v>
      </c>
      <c r="J14" s="35" t="s">
        <v>131</v>
      </c>
      <c r="K14" s="40">
        <v>0</v>
      </c>
      <c r="L14" s="35">
        <v>0</v>
      </c>
      <c r="M14" s="35">
        <v>91</v>
      </c>
      <c r="N14" s="319" t="s">
        <v>138</v>
      </c>
      <c r="O14" s="323"/>
      <c r="P14" s="305"/>
    </row>
    <row r="15" spans="3:19" x14ac:dyDescent="0.25">
      <c r="C15" s="302"/>
      <c r="D15" s="35">
        <v>2</v>
      </c>
      <c r="E15" s="35">
        <v>1</v>
      </c>
      <c r="F15" s="35">
        <v>0</v>
      </c>
      <c r="G15" s="318"/>
      <c r="H15" s="35">
        <v>5</v>
      </c>
      <c r="I15" s="39">
        <v>0</v>
      </c>
      <c r="J15" s="35" t="s">
        <v>131</v>
      </c>
      <c r="K15" s="40">
        <v>0</v>
      </c>
      <c r="L15" s="35">
        <v>91</v>
      </c>
      <c r="M15" s="35">
        <v>91</v>
      </c>
      <c r="N15" s="320"/>
      <c r="O15" s="323"/>
      <c r="P15" s="305"/>
    </row>
    <row r="16" spans="3:19" x14ac:dyDescent="0.25">
      <c r="C16" s="303"/>
      <c r="D16" s="35">
        <v>3</v>
      </c>
      <c r="E16" s="35">
        <v>1</v>
      </c>
      <c r="F16" s="35">
        <v>0</v>
      </c>
      <c r="G16" s="316"/>
      <c r="H16" s="35">
        <v>5</v>
      </c>
      <c r="I16" s="39">
        <v>0</v>
      </c>
      <c r="J16" s="35" t="s">
        <v>131</v>
      </c>
      <c r="K16" s="40">
        <v>0</v>
      </c>
      <c r="L16" s="35">
        <v>181</v>
      </c>
      <c r="M16" s="35">
        <v>91</v>
      </c>
      <c r="N16" s="321"/>
      <c r="O16" s="324"/>
      <c r="P16" s="305"/>
    </row>
    <row r="17" spans="3:16" x14ac:dyDescent="0.25">
      <c r="C17" s="304">
        <v>3</v>
      </c>
      <c r="D17" s="310">
        <v>1</v>
      </c>
      <c r="E17" s="310">
        <v>2</v>
      </c>
      <c r="F17" s="34">
        <v>0</v>
      </c>
      <c r="G17" s="310">
        <v>6</v>
      </c>
      <c r="H17" s="310">
        <v>4</v>
      </c>
      <c r="I17" s="34">
        <v>0</v>
      </c>
      <c r="J17" s="34">
        <v>2</v>
      </c>
      <c r="K17" s="34">
        <v>0</v>
      </c>
      <c r="L17" s="34">
        <v>0</v>
      </c>
      <c r="M17" s="34">
        <v>40</v>
      </c>
      <c r="N17" s="310" t="s">
        <v>139</v>
      </c>
      <c r="O17" s="309" t="s">
        <v>140</v>
      </c>
      <c r="P17" s="305"/>
    </row>
    <row r="18" spans="3:16" x14ac:dyDescent="0.25">
      <c r="C18" s="302"/>
      <c r="D18" s="312"/>
      <c r="E18" s="312"/>
      <c r="F18" s="34">
        <v>1</v>
      </c>
      <c r="G18" s="312"/>
      <c r="H18" s="312"/>
      <c r="I18" s="34">
        <v>0</v>
      </c>
      <c r="J18" s="34">
        <v>4</v>
      </c>
      <c r="K18" s="34">
        <v>0</v>
      </c>
      <c r="L18" s="34">
        <v>40</v>
      </c>
      <c r="M18" s="34">
        <v>40</v>
      </c>
      <c r="N18" s="312"/>
      <c r="O18" s="309"/>
      <c r="P18" s="305"/>
    </row>
    <row r="19" spans="3:16" x14ac:dyDescent="0.25">
      <c r="C19" s="302"/>
      <c r="D19" s="315">
        <v>1</v>
      </c>
      <c r="E19" s="315">
        <v>2</v>
      </c>
      <c r="F19" s="35">
        <v>0</v>
      </c>
      <c r="G19" s="315">
        <v>6</v>
      </c>
      <c r="H19" s="315">
        <v>4</v>
      </c>
      <c r="I19" s="35">
        <v>0</v>
      </c>
      <c r="J19" s="35" t="s">
        <v>131</v>
      </c>
      <c r="K19" s="35">
        <v>0</v>
      </c>
      <c r="L19" s="35">
        <v>0</v>
      </c>
      <c r="M19" s="35">
        <v>40</v>
      </c>
      <c r="N19" s="314" t="s">
        <v>141</v>
      </c>
      <c r="O19" s="309"/>
      <c r="P19" s="305"/>
    </row>
    <row r="20" spans="3:16" x14ac:dyDescent="0.25">
      <c r="C20" s="303"/>
      <c r="D20" s="316"/>
      <c r="E20" s="316"/>
      <c r="F20" s="35">
        <v>1</v>
      </c>
      <c r="G20" s="316"/>
      <c r="H20" s="316"/>
      <c r="I20" s="35">
        <v>0</v>
      </c>
      <c r="J20" s="35" t="s">
        <v>131</v>
      </c>
      <c r="K20" s="35">
        <v>0</v>
      </c>
      <c r="L20" s="35">
        <v>40</v>
      </c>
      <c r="M20" s="35">
        <v>40</v>
      </c>
      <c r="N20" s="314"/>
      <c r="O20" s="309"/>
      <c r="P20" s="305"/>
    </row>
    <row r="21" spans="3:16" x14ac:dyDescent="0.25">
      <c r="C21" s="304">
        <v>4</v>
      </c>
      <c r="D21" s="310">
        <v>1</v>
      </c>
      <c r="E21" s="310">
        <v>2</v>
      </c>
      <c r="F21" s="34">
        <v>0</v>
      </c>
      <c r="G21" s="310">
        <v>10</v>
      </c>
      <c r="H21" s="310">
        <v>0</v>
      </c>
      <c r="I21" s="34">
        <v>0</v>
      </c>
      <c r="J21" s="34">
        <v>2</v>
      </c>
      <c r="K21" s="34">
        <v>0</v>
      </c>
      <c r="L21" s="34">
        <v>10</v>
      </c>
      <c r="M21" s="34">
        <v>50</v>
      </c>
      <c r="N21" s="310" t="s">
        <v>142</v>
      </c>
      <c r="O21" s="309" t="s">
        <v>140</v>
      </c>
      <c r="P21" s="305"/>
    </row>
    <row r="22" spans="3:16" x14ac:dyDescent="0.25">
      <c r="C22" s="302"/>
      <c r="D22" s="312"/>
      <c r="E22" s="312"/>
      <c r="F22" s="34">
        <v>1</v>
      </c>
      <c r="G22" s="312"/>
      <c r="H22" s="312"/>
      <c r="I22" s="34">
        <v>0</v>
      </c>
      <c r="J22" s="34">
        <v>2</v>
      </c>
      <c r="K22" s="34">
        <v>0</v>
      </c>
      <c r="L22" s="34">
        <v>60</v>
      </c>
      <c r="M22" s="34">
        <v>30</v>
      </c>
      <c r="N22" s="312"/>
      <c r="O22" s="309"/>
      <c r="P22" s="305"/>
    </row>
    <row r="23" spans="3:16" x14ac:dyDescent="0.25">
      <c r="C23" s="302"/>
      <c r="D23" s="315">
        <v>1</v>
      </c>
      <c r="E23" s="315">
        <v>2</v>
      </c>
      <c r="F23" s="35">
        <v>0</v>
      </c>
      <c r="G23" s="315">
        <v>10</v>
      </c>
      <c r="H23" s="315">
        <v>0</v>
      </c>
      <c r="I23" s="35">
        <v>0</v>
      </c>
      <c r="J23" s="35" t="s">
        <v>131</v>
      </c>
      <c r="K23" s="35">
        <v>0</v>
      </c>
      <c r="L23" s="35">
        <v>10</v>
      </c>
      <c r="M23" s="35">
        <v>50</v>
      </c>
      <c r="N23" s="314" t="s">
        <v>143</v>
      </c>
      <c r="O23" s="309"/>
      <c r="P23" s="305"/>
    </row>
    <row r="24" spans="3:16" x14ac:dyDescent="0.25">
      <c r="C24" s="303"/>
      <c r="D24" s="316"/>
      <c r="E24" s="316"/>
      <c r="F24" s="35">
        <v>1</v>
      </c>
      <c r="G24" s="316"/>
      <c r="H24" s="316"/>
      <c r="I24" s="35">
        <v>0</v>
      </c>
      <c r="J24" s="35" t="s">
        <v>131</v>
      </c>
      <c r="K24" s="35">
        <v>0</v>
      </c>
      <c r="L24" s="35">
        <v>60</v>
      </c>
      <c r="M24" s="35">
        <v>30</v>
      </c>
      <c r="N24" s="314"/>
      <c r="O24" s="309"/>
      <c r="P24" s="305"/>
    </row>
    <row r="25" spans="3:16" x14ac:dyDescent="0.25">
      <c r="C25" s="304">
        <v>5</v>
      </c>
      <c r="D25" s="310">
        <v>1</v>
      </c>
      <c r="E25" s="310">
        <v>3</v>
      </c>
      <c r="F25" s="34">
        <v>0</v>
      </c>
      <c r="G25" s="310">
        <v>12</v>
      </c>
      <c r="H25" s="310">
        <v>11</v>
      </c>
      <c r="I25" s="34">
        <v>0</v>
      </c>
      <c r="J25" s="34">
        <v>3</v>
      </c>
      <c r="K25" s="34">
        <v>0</v>
      </c>
      <c r="L25" s="34">
        <v>15</v>
      </c>
      <c r="M25" s="34">
        <v>5</v>
      </c>
      <c r="N25" s="310" t="s">
        <v>144</v>
      </c>
      <c r="O25" s="309" t="s">
        <v>140</v>
      </c>
      <c r="P25" s="305"/>
    </row>
    <row r="26" spans="3:16" x14ac:dyDescent="0.25">
      <c r="C26" s="302"/>
      <c r="D26" s="311"/>
      <c r="E26" s="311"/>
      <c r="F26" s="34">
        <v>1</v>
      </c>
      <c r="G26" s="311"/>
      <c r="H26" s="311"/>
      <c r="I26" s="34">
        <v>0</v>
      </c>
      <c r="J26" s="34">
        <v>3</v>
      </c>
      <c r="K26" s="34">
        <v>0</v>
      </c>
      <c r="L26" s="34">
        <v>24</v>
      </c>
      <c r="M26" s="34">
        <v>12</v>
      </c>
      <c r="N26" s="311"/>
      <c r="O26" s="309"/>
      <c r="P26" s="305"/>
    </row>
    <row r="27" spans="3:16" x14ac:dyDescent="0.25">
      <c r="C27" s="302"/>
      <c r="D27" s="312"/>
      <c r="E27" s="312"/>
      <c r="F27" s="34">
        <v>2</v>
      </c>
      <c r="G27" s="312"/>
      <c r="H27" s="312"/>
      <c r="I27" s="34">
        <v>0</v>
      </c>
      <c r="J27" s="34">
        <v>3</v>
      </c>
      <c r="K27" s="34">
        <v>0</v>
      </c>
      <c r="L27" s="34">
        <v>44</v>
      </c>
      <c r="M27" s="34">
        <v>25</v>
      </c>
      <c r="N27" s="312"/>
      <c r="O27" s="309"/>
      <c r="P27" s="305"/>
    </row>
    <row r="28" spans="3:16" x14ac:dyDescent="0.25">
      <c r="C28" s="302"/>
      <c r="D28" s="315">
        <v>1</v>
      </c>
      <c r="E28" s="315">
        <v>3</v>
      </c>
      <c r="F28" s="35">
        <v>0</v>
      </c>
      <c r="G28" s="315">
        <v>12</v>
      </c>
      <c r="H28" s="315">
        <v>11</v>
      </c>
      <c r="I28" s="35">
        <v>0</v>
      </c>
      <c r="J28" s="35" t="s">
        <v>131</v>
      </c>
      <c r="K28" s="35">
        <v>0</v>
      </c>
      <c r="L28" s="35">
        <v>15</v>
      </c>
      <c r="M28" s="35">
        <v>5</v>
      </c>
      <c r="N28" s="314" t="s">
        <v>145</v>
      </c>
      <c r="O28" s="309"/>
      <c r="P28" s="305"/>
    </row>
    <row r="29" spans="3:16" x14ac:dyDescent="0.25">
      <c r="C29" s="302"/>
      <c r="D29" s="318"/>
      <c r="E29" s="318"/>
      <c r="F29" s="35">
        <v>1</v>
      </c>
      <c r="G29" s="318"/>
      <c r="H29" s="318"/>
      <c r="I29" s="35">
        <v>0</v>
      </c>
      <c r="J29" s="35" t="s">
        <v>131</v>
      </c>
      <c r="K29" s="35">
        <v>0</v>
      </c>
      <c r="L29" s="35">
        <v>24</v>
      </c>
      <c r="M29" s="35">
        <v>12</v>
      </c>
      <c r="N29" s="314"/>
      <c r="O29" s="309"/>
      <c r="P29" s="305"/>
    </row>
    <row r="30" spans="3:16" x14ac:dyDescent="0.25">
      <c r="C30" s="303"/>
      <c r="D30" s="316"/>
      <c r="E30" s="316"/>
      <c r="F30" s="35">
        <v>2</v>
      </c>
      <c r="G30" s="316"/>
      <c r="H30" s="316"/>
      <c r="I30" s="35">
        <v>0</v>
      </c>
      <c r="J30" s="35" t="s">
        <v>131</v>
      </c>
      <c r="K30" s="35">
        <v>0</v>
      </c>
      <c r="L30" s="35">
        <v>44</v>
      </c>
      <c r="M30" s="35">
        <v>25</v>
      </c>
      <c r="N30" s="314"/>
      <c r="O30" s="309"/>
      <c r="P30" s="305"/>
    </row>
    <row r="31" spans="3:16" x14ac:dyDescent="0.25">
      <c r="C31" s="304">
        <v>6</v>
      </c>
      <c r="D31" s="310">
        <v>1</v>
      </c>
      <c r="E31" s="310">
        <v>3</v>
      </c>
      <c r="F31" s="34">
        <v>0</v>
      </c>
      <c r="G31" s="310">
        <v>15</v>
      </c>
      <c r="H31" s="310">
        <v>8</v>
      </c>
      <c r="I31" s="34">
        <v>0</v>
      </c>
      <c r="J31" s="34">
        <v>6</v>
      </c>
      <c r="K31" s="34">
        <v>0</v>
      </c>
      <c r="L31" s="34">
        <v>0</v>
      </c>
      <c r="M31" s="34">
        <v>50</v>
      </c>
      <c r="N31" s="310" t="s">
        <v>146</v>
      </c>
      <c r="O31" s="313" t="s">
        <v>147</v>
      </c>
      <c r="P31" s="305"/>
    </row>
    <row r="32" spans="3:16" x14ac:dyDescent="0.25">
      <c r="C32" s="302"/>
      <c r="D32" s="311"/>
      <c r="E32" s="311"/>
      <c r="F32" s="34">
        <v>1</v>
      </c>
      <c r="G32" s="311"/>
      <c r="H32" s="311"/>
      <c r="I32" s="34">
        <v>0</v>
      </c>
      <c r="J32" s="34">
        <v>6</v>
      </c>
      <c r="K32" s="34">
        <v>0</v>
      </c>
      <c r="L32" s="34">
        <v>50</v>
      </c>
      <c r="M32" s="34">
        <v>25</v>
      </c>
      <c r="N32" s="311"/>
      <c r="O32" s="313"/>
      <c r="P32" s="305"/>
    </row>
    <row r="33" spans="3:16" x14ac:dyDescent="0.25">
      <c r="C33" s="302"/>
      <c r="D33" s="312"/>
      <c r="E33" s="312"/>
      <c r="F33" s="34">
        <v>2</v>
      </c>
      <c r="G33" s="311"/>
      <c r="H33" s="311"/>
      <c r="I33" s="34">
        <v>0</v>
      </c>
      <c r="J33" s="34">
        <v>6</v>
      </c>
      <c r="K33" s="34">
        <v>0</v>
      </c>
      <c r="L33" s="34">
        <v>75</v>
      </c>
      <c r="M33" s="34">
        <v>25</v>
      </c>
      <c r="N33" s="312"/>
      <c r="O33" s="313"/>
      <c r="P33" s="305"/>
    </row>
    <row r="34" spans="3:16" x14ac:dyDescent="0.25">
      <c r="C34" s="302"/>
      <c r="D34" s="315">
        <v>1</v>
      </c>
      <c r="E34" s="315">
        <v>3</v>
      </c>
      <c r="F34" s="39">
        <v>0</v>
      </c>
      <c r="G34" s="317">
        <v>15</v>
      </c>
      <c r="H34" s="317">
        <v>8</v>
      </c>
      <c r="I34" s="40">
        <v>0</v>
      </c>
      <c r="J34" s="35" t="s">
        <v>131</v>
      </c>
      <c r="K34" s="35">
        <v>0</v>
      </c>
      <c r="L34" s="35">
        <v>0</v>
      </c>
      <c r="M34" s="35">
        <v>50</v>
      </c>
      <c r="N34" s="314" t="s">
        <v>148</v>
      </c>
      <c r="O34" s="313"/>
      <c r="P34" s="305"/>
    </row>
    <row r="35" spans="3:16" x14ac:dyDescent="0.25">
      <c r="C35" s="302"/>
      <c r="D35" s="318"/>
      <c r="E35" s="318"/>
      <c r="F35" s="39">
        <v>1</v>
      </c>
      <c r="G35" s="317"/>
      <c r="H35" s="317"/>
      <c r="I35" s="40">
        <v>0</v>
      </c>
      <c r="J35" s="35" t="s">
        <v>131</v>
      </c>
      <c r="K35" s="35">
        <v>0</v>
      </c>
      <c r="L35" s="35">
        <v>50</v>
      </c>
      <c r="M35" s="35">
        <v>25</v>
      </c>
      <c r="N35" s="314"/>
      <c r="O35" s="313"/>
      <c r="P35" s="305"/>
    </row>
    <row r="36" spans="3:16" x14ac:dyDescent="0.25">
      <c r="C36" s="302"/>
      <c r="D36" s="318"/>
      <c r="E36" s="318"/>
      <c r="F36" s="39">
        <v>2</v>
      </c>
      <c r="G36" s="317"/>
      <c r="H36" s="317"/>
      <c r="I36" s="40">
        <v>0</v>
      </c>
      <c r="J36" s="35" t="s">
        <v>131</v>
      </c>
      <c r="K36" s="35">
        <v>0</v>
      </c>
      <c r="L36" s="35">
        <v>75</v>
      </c>
      <c r="M36" s="35">
        <v>16</v>
      </c>
      <c r="N36" s="314"/>
      <c r="O36" s="313"/>
      <c r="P36" s="305"/>
    </row>
    <row r="37" spans="3:16" x14ac:dyDescent="0.25">
      <c r="C37" s="326"/>
      <c r="D37" s="39">
        <v>2</v>
      </c>
      <c r="E37" s="35">
        <v>1</v>
      </c>
      <c r="F37" s="41">
        <v>2</v>
      </c>
      <c r="G37" s="35">
        <v>15</v>
      </c>
      <c r="H37" s="35"/>
      <c r="I37" s="40">
        <v>0</v>
      </c>
      <c r="J37" s="35" t="s">
        <v>131</v>
      </c>
      <c r="K37" s="35">
        <v>0</v>
      </c>
      <c r="L37" s="35">
        <v>91</v>
      </c>
      <c r="M37" s="35">
        <v>9</v>
      </c>
      <c r="N37" s="314"/>
      <c r="O37" s="313"/>
      <c r="P37" s="305"/>
    </row>
    <row r="38" spans="3:16" ht="20.45" customHeight="1" x14ac:dyDescent="0.25">
      <c r="C38" s="304">
        <v>7</v>
      </c>
      <c r="D38" s="34">
        <v>1</v>
      </c>
      <c r="E38" s="34">
        <v>1</v>
      </c>
      <c r="F38" s="34">
        <v>2</v>
      </c>
      <c r="G38" s="310">
        <v>3</v>
      </c>
      <c r="H38" s="34">
        <v>6</v>
      </c>
      <c r="I38" s="34">
        <v>0</v>
      </c>
      <c r="J38" s="36">
        <v>4</v>
      </c>
      <c r="K38" s="34">
        <v>0</v>
      </c>
      <c r="L38" s="34">
        <v>0</v>
      </c>
      <c r="M38" s="34">
        <v>50</v>
      </c>
      <c r="N38" s="310" t="s">
        <v>149</v>
      </c>
      <c r="O38" s="313" t="s">
        <v>150</v>
      </c>
      <c r="P38" s="305"/>
    </row>
    <row r="39" spans="3:16" ht="17.45" customHeight="1" x14ac:dyDescent="0.25">
      <c r="C39" s="302"/>
      <c r="D39" s="34">
        <v>2</v>
      </c>
      <c r="E39" s="34">
        <v>1</v>
      </c>
      <c r="F39" s="34">
        <v>4</v>
      </c>
      <c r="G39" s="312"/>
      <c r="H39" s="34">
        <v>7</v>
      </c>
      <c r="I39" s="34">
        <v>0</v>
      </c>
      <c r="J39" s="34">
        <v>6</v>
      </c>
      <c r="K39" s="34">
        <v>0</v>
      </c>
      <c r="L39" s="34">
        <v>80</v>
      </c>
      <c r="M39" s="34">
        <v>50</v>
      </c>
      <c r="N39" s="312"/>
      <c r="O39" s="313"/>
      <c r="P39" s="305"/>
    </row>
    <row r="40" spans="3:16" ht="21" customHeight="1" x14ac:dyDescent="0.25">
      <c r="C40" s="302"/>
      <c r="D40" s="35">
        <v>1</v>
      </c>
      <c r="E40" s="35">
        <v>1</v>
      </c>
      <c r="F40" s="35">
        <v>2</v>
      </c>
      <c r="G40" s="315">
        <v>3</v>
      </c>
      <c r="H40" s="35">
        <v>6</v>
      </c>
      <c r="I40" s="35">
        <v>0</v>
      </c>
      <c r="J40" s="35" t="s">
        <v>131</v>
      </c>
      <c r="K40" s="35">
        <v>0</v>
      </c>
      <c r="L40" s="35">
        <v>0</v>
      </c>
      <c r="M40" s="35">
        <v>50</v>
      </c>
      <c r="N40" s="314" t="s">
        <v>151</v>
      </c>
      <c r="O40" s="313"/>
      <c r="P40" s="305"/>
    </row>
    <row r="41" spans="3:16" ht="21" customHeight="1" x14ac:dyDescent="0.25">
      <c r="C41" s="302"/>
      <c r="D41" s="317">
        <v>2</v>
      </c>
      <c r="E41" s="317">
        <v>2</v>
      </c>
      <c r="F41" s="35">
        <v>2</v>
      </c>
      <c r="G41" s="318"/>
      <c r="H41" s="317">
        <v>7</v>
      </c>
      <c r="I41" s="35">
        <v>0</v>
      </c>
      <c r="J41" s="35" t="s">
        <v>131</v>
      </c>
      <c r="K41" s="35">
        <v>0</v>
      </c>
      <c r="L41" s="35">
        <v>0</v>
      </c>
      <c r="M41" s="35">
        <v>50</v>
      </c>
      <c r="N41" s="314"/>
      <c r="O41" s="313"/>
      <c r="P41" s="305"/>
    </row>
    <row r="42" spans="3:16" x14ac:dyDescent="0.25">
      <c r="C42" s="302"/>
      <c r="D42" s="317"/>
      <c r="E42" s="317"/>
      <c r="F42" s="35">
        <v>4</v>
      </c>
      <c r="G42" s="318"/>
      <c r="H42" s="317"/>
      <c r="I42" s="35">
        <v>0</v>
      </c>
      <c r="J42" s="35" t="s">
        <v>131</v>
      </c>
      <c r="K42" s="35">
        <v>0</v>
      </c>
      <c r="L42" s="35">
        <v>80</v>
      </c>
      <c r="M42" s="35">
        <v>41</v>
      </c>
      <c r="N42" s="314"/>
      <c r="O42" s="313"/>
      <c r="P42" s="305"/>
    </row>
    <row r="43" spans="3:16" x14ac:dyDescent="0.25">
      <c r="C43" s="303"/>
      <c r="D43" s="35">
        <v>3</v>
      </c>
      <c r="E43" s="35">
        <v>1</v>
      </c>
      <c r="F43" s="35">
        <v>4</v>
      </c>
      <c r="G43" s="316"/>
      <c r="H43" s="35">
        <v>7</v>
      </c>
      <c r="I43" s="35">
        <v>0</v>
      </c>
      <c r="J43" s="35" t="s">
        <v>131</v>
      </c>
      <c r="K43" s="35">
        <v>0</v>
      </c>
      <c r="L43" s="35">
        <v>121</v>
      </c>
      <c r="M43" s="35">
        <v>9</v>
      </c>
      <c r="N43" s="314"/>
      <c r="O43" s="313"/>
      <c r="P43" s="305"/>
    </row>
    <row r="47" spans="3:16" x14ac:dyDescent="0.25">
      <c r="L47" t="s">
        <v>152</v>
      </c>
    </row>
    <row r="49" spans="3:15" ht="30" x14ac:dyDescent="0.25">
      <c r="C49" s="32" t="s">
        <v>116</v>
      </c>
      <c r="D49" s="32" t="s">
        <v>117</v>
      </c>
      <c r="E49" s="33" t="s">
        <v>118</v>
      </c>
      <c r="F49" s="32" t="s">
        <v>119</v>
      </c>
      <c r="G49" s="32" t="s">
        <v>120</v>
      </c>
      <c r="H49" s="32" t="s">
        <v>121</v>
      </c>
      <c r="I49" s="32" t="s">
        <v>122</v>
      </c>
      <c r="J49" s="32" t="s">
        <v>123</v>
      </c>
      <c r="K49" s="32" t="s">
        <v>124</v>
      </c>
      <c r="L49" s="33" t="s">
        <v>125</v>
      </c>
      <c r="M49" s="33" t="s">
        <v>126</v>
      </c>
      <c r="N49" s="32" t="s">
        <v>2</v>
      </c>
      <c r="O49" s="33" t="s">
        <v>127</v>
      </c>
    </row>
    <row r="50" spans="3:15" x14ac:dyDescent="0.25">
      <c r="C50" s="305">
        <v>1</v>
      </c>
      <c r="D50" s="34">
        <v>1</v>
      </c>
      <c r="E50" s="34">
        <v>1</v>
      </c>
      <c r="F50" s="34">
        <v>5</v>
      </c>
      <c r="G50" s="310">
        <v>0</v>
      </c>
      <c r="H50" s="34">
        <v>0</v>
      </c>
      <c r="I50" s="34">
        <v>0</v>
      </c>
      <c r="J50" s="34">
        <v>2</v>
      </c>
      <c r="K50" s="34">
        <v>0</v>
      </c>
      <c r="L50" s="34">
        <v>182</v>
      </c>
      <c r="M50" s="34">
        <v>91</v>
      </c>
      <c r="N50" s="325" t="s">
        <v>128</v>
      </c>
      <c r="O50" s="313" t="s">
        <v>129</v>
      </c>
    </row>
    <row r="51" spans="3:15" x14ac:dyDescent="0.25">
      <c r="C51" s="305"/>
      <c r="D51" s="34">
        <v>2</v>
      </c>
      <c r="E51" s="34">
        <v>1</v>
      </c>
      <c r="F51" s="34">
        <v>0</v>
      </c>
      <c r="G51" s="312"/>
      <c r="H51" s="34">
        <v>0</v>
      </c>
      <c r="I51" s="34">
        <v>0</v>
      </c>
      <c r="J51" s="34">
        <v>2</v>
      </c>
      <c r="K51" s="34">
        <v>0</v>
      </c>
      <c r="L51" s="34">
        <v>0</v>
      </c>
      <c r="M51" s="34">
        <v>91</v>
      </c>
      <c r="N51" s="325"/>
      <c r="O51" s="313"/>
    </row>
    <row r="52" spans="3:15" x14ac:dyDescent="0.25">
      <c r="C52" s="305"/>
      <c r="D52" s="35">
        <v>1</v>
      </c>
      <c r="E52" s="35">
        <v>1</v>
      </c>
      <c r="F52" s="35">
        <v>0</v>
      </c>
      <c r="G52" s="315">
        <v>0</v>
      </c>
      <c r="H52" s="35">
        <v>0</v>
      </c>
      <c r="I52" s="35">
        <v>0</v>
      </c>
      <c r="J52" s="35" t="s">
        <v>131</v>
      </c>
      <c r="K52" s="39">
        <v>0</v>
      </c>
      <c r="L52" s="35">
        <v>0</v>
      </c>
      <c r="M52" s="35">
        <v>91</v>
      </c>
      <c r="N52" s="314" t="s">
        <v>132</v>
      </c>
      <c r="O52" s="313"/>
    </row>
    <row r="53" spans="3:15" x14ac:dyDescent="0.25">
      <c r="C53" s="305"/>
      <c r="D53" s="35">
        <v>2</v>
      </c>
      <c r="E53" s="35">
        <v>1</v>
      </c>
      <c r="F53" s="35">
        <v>5</v>
      </c>
      <c r="G53" s="318"/>
      <c r="H53" s="35">
        <v>0</v>
      </c>
      <c r="I53" s="35">
        <v>0</v>
      </c>
      <c r="J53" s="35" t="s">
        <v>131</v>
      </c>
      <c r="K53" s="39">
        <v>0</v>
      </c>
      <c r="L53" s="35">
        <v>182</v>
      </c>
      <c r="M53" s="35">
        <v>91</v>
      </c>
      <c r="N53" s="314"/>
      <c r="O53" s="313"/>
    </row>
    <row r="54" spans="3:15" x14ac:dyDescent="0.25">
      <c r="C54" s="305"/>
      <c r="D54" s="35">
        <v>3</v>
      </c>
      <c r="E54" s="35">
        <v>1</v>
      </c>
      <c r="F54" s="35">
        <v>0</v>
      </c>
      <c r="G54" s="318"/>
      <c r="H54" s="35">
        <v>1</v>
      </c>
      <c r="I54" s="35">
        <v>0</v>
      </c>
      <c r="J54" s="35" t="s">
        <v>131</v>
      </c>
      <c r="K54" s="39">
        <v>0</v>
      </c>
      <c r="L54" s="35">
        <v>0</v>
      </c>
      <c r="M54" s="35">
        <v>91</v>
      </c>
      <c r="N54" s="314"/>
      <c r="O54" s="313"/>
    </row>
    <row r="55" spans="3:15" x14ac:dyDescent="0.25">
      <c r="C55" s="305"/>
      <c r="D55" s="35">
        <v>4</v>
      </c>
      <c r="E55" s="35">
        <v>1</v>
      </c>
      <c r="F55" s="35">
        <v>5</v>
      </c>
      <c r="G55" s="316"/>
      <c r="H55" s="35">
        <v>1</v>
      </c>
      <c r="I55" s="35">
        <v>0</v>
      </c>
      <c r="J55" s="35" t="s">
        <v>131</v>
      </c>
      <c r="K55" s="39">
        <v>0</v>
      </c>
      <c r="L55" s="35">
        <v>182</v>
      </c>
      <c r="M55" s="35">
        <v>91</v>
      </c>
      <c r="N55" s="314"/>
      <c r="O55" s="313"/>
    </row>
    <row r="56" spans="3:15" x14ac:dyDescent="0.25">
      <c r="C56" s="304">
        <v>2</v>
      </c>
      <c r="D56" s="34">
        <v>1</v>
      </c>
      <c r="E56" s="34">
        <v>1</v>
      </c>
      <c r="F56" s="34">
        <v>0</v>
      </c>
      <c r="G56" s="34">
        <v>1</v>
      </c>
      <c r="H56" s="34">
        <v>5</v>
      </c>
      <c r="I56" s="34">
        <v>0</v>
      </c>
      <c r="J56" s="34">
        <v>3</v>
      </c>
      <c r="K56" s="34">
        <v>0</v>
      </c>
      <c r="L56" s="34">
        <v>0</v>
      </c>
      <c r="M56" s="34">
        <v>273</v>
      </c>
      <c r="N56" s="34" t="s">
        <v>136</v>
      </c>
      <c r="O56" s="322" t="s">
        <v>137</v>
      </c>
    </row>
    <row r="57" spans="3:15" x14ac:dyDescent="0.25">
      <c r="C57" s="302"/>
      <c r="D57" s="35">
        <v>1</v>
      </c>
      <c r="E57" s="35">
        <v>1</v>
      </c>
      <c r="F57" s="35">
        <v>0</v>
      </c>
      <c r="G57" s="315">
        <v>1</v>
      </c>
      <c r="H57" s="35">
        <v>5</v>
      </c>
      <c r="I57" s="39">
        <v>0</v>
      </c>
      <c r="J57" s="35" t="s">
        <v>131</v>
      </c>
      <c r="K57" s="40">
        <v>0</v>
      </c>
      <c r="L57" s="35">
        <v>0</v>
      </c>
      <c r="M57" s="35">
        <v>91</v>
      </c>
      <c r="N57" s="319" t="s">
        <v>138</v>
      </c>
      <c r="O57" s="323"/>
    </row>
    <row r="58" spans="3:15" x14ac:dyDescent="0.25">
      <c r="C58" s="302"/>
      <c r="D58" s="35">
        <v>2</v>
      </c>
      <c r="E58" s="35">
        <v>1</v>
      </c>
      <c r="F58" s="35">
        <v>0</v>
      </c>
      <c r="G58" s="318"/>
      <c r="H58" s="35">
        <v>5</v>
      </c>
      <c r="I58" s="39">
        <v>0</v>
      </c>
      <c r="J58" s="35" t="s">
        <v>131</v>
      </c>
      <c r="K58" s="40">
        <v>0</v>
      </c>
      <c r="L58" s="35">
        <v>91</v>
      </c>
      <c r="M58" s="35">
        <v>91</v>
      </c>
      <c r="N58" s="320"/>
      <c r="O58" s="323"/>
    </row>
    <row r="59" spans="3:15" x14ac:dyDescent="0.25">
      <c r="C59" s="303"/>
      <c r="D59" s="35">
        <v>3</v>
      </c>
      <c r="E59" s="35">
        <v>1</v>
      </c>
      <c r="F59" s="35">
        <v>0</v>
      </c>
      <c r="G59" s="316"/>
      <c r="H59" s="35">
        <v>5</v>
      </c>
      <c r="I59" s="39">
        <v>0</v>
      </c>
      <c r="J59" s="35" t="s">
        <v>131</v>
      </c>
      <c r="K59" s="40">
        <v>0</v>
      </c>
      <c r="L59" s="35">
        <v>181</v>
      </c>
      <c r="M59" s="35">
        <v>91</v>
      </c>
      <c r="N59" s="321"/>
      <c r="O59" s="324"/>
    </row>
  </sheetData>
  <mergeCells count="78">
    <mergeCell ref="C56:C59"/>
    <mergeCell ref="O56:O59"/>
    <mergeCell ref="G57:G59"/>
    <mergeCell ref="N57:N59"/>
    <mergeCell ref="C50:C55"/>
    <mergeCell ref="G50:G51"/>
    <mergeCell ref="N50:N51"/>
    <mergeCell ref="O50:O55"/>
    <mergeCell ref="G52:G55"/>
    <mergeCell ref="N52:N55"/>
    <mergeCell ref="C31:C37"/>
    <mergeCell ref="D31:D33"/>
    <mergeCell ref="E31:E33"/>
    <mergeCell ref="G31:G33"/>
    <mergeCell ref="H31:H33"/>
    <mergeCell ref="D34:D36"/>
    <mergeCell ref="E34:E36"/>
    <mergeCell ref="G34:G36"/>
    <mergeCell ref="H34:H36"/>
    <mergeCell ref="C25:C30"/>
    <mergeCell ref="D25:D27"/>
    <mergeCell ref="E25:E27"/>
    <mergeCell ref="G25:G27"/>
    <mergeCell ref="H25:H27"/>
    <mergeCell ref="D28:D30"/>
    <mergeCell ref="E28:E30"/>
    <mergeCell ref="G28:G30"/>
    <mergeCell ref="H28:H30"/>
    <mergeCell ref="C21:C24"/>
    <mergeCell ref="D21:D22"/>
    <mergeCell ref="E21:E22"/>
    <mergeCell ref="G21:G22"/>
    <mergeCell ref="H21:H22"/>
    <mergeCell ref="D23:D24"/>
    <mergeCell ref="E23:E24"/>
    <mergeCell ref="G23:G24"/>
    <mergeCell ref="H23:H24"/>
    <mergeCell ref="G14:G16"/>
    <mergeCell ref="C13:C16"/>
    <mergeCell ref="N14:N16"/>
    <mergeCell ref="O13:O16"/>
    <mergeCell ref="C7:C12"/>
    <mergeCell ref="N7:N8"/>
    <mergeCell ref="O7:O12"/>
    <mergeCell ref="N9:N12"/>
    <mergeCell ref="G7:G8"/>
    <mergeCell ref="G9:G12"/>
    <mergeCell ref="C38:C43"/>
    <mergeCell ref="N38:N39"/>
    <mergeCell ref="O38:O43"/>
    <mergeCell ref="N40:N43"/>
    <mergeCell ref="D41:D42"/>
    <mergeCell ref="E41:E42"/>
    <mergeCell ref="H41:H42"/>
    <mergeCell ref="G38:G39"/>
    <mergeCell ref="G40:G43"/>
    <mergeCell ref="C17:C20"/>
    <mergeCell ref="D17:D18"/>
    <mergeCell ref="E17:E18"/>
    <mergeCell ref="H17:H18"/>
    <mergeCell ref="N17:N18"/>
    <mergeCell ref="D19:D20"/>
    <mergeCell ref="E19:E20"/>
    <mergeCell ref="H19:H20"/>
    <mergeCell ref="N19:N20"/>
    <mergeCell ref="G17:G18"/>
    <mergeCell ref="G19:G20"/>
    <mergeCell ref="O17:O20"/>
    <mergeCell ref="N31:N33"/>
    <mergeCell ref="O31:O37"/>
    <mergeCell ref="N34:N37"/>
    <mergeCell ref="P7:P43"/>
    <mergeCell ref="N21:N22"/>
    <mergeCell ref="O21:O24"/>
    <mergeCell ref="N23:N24"/>
    <mergeCell ref="N25:N27"/>
    <mergeCell ref="O25:O30"/>
    <mergeCell ref="N28:N30"/>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A6B2-9ECE-44BA-8AB8-B3A377261D86}">
  <dimension ref="A1:AZ338"/>
  <sheetViews>
    <sheetView topLeftCell="A18" zoomScale="70" zoomScaleNormal="70" workbookViewId="0">
      <selection activeCell="A14" sqref="A14:XFD14"/>
    </sheetView>
  </sheetViews>
  <sheetFormatPr defaultRowHeight="15" x14ac:dyDescent="0.25"/>
  <cols>
    <col min="1" max="1" width="9.140625" style="96"/>
    <col min="2" max="2" width="23.85546875" style="96" customWidth="1"/>
    <col min="3" max="3" width="147.42578125" style="2" bestFit="1" customWidth="1"/>
    <col min="4" max="5" width="15.5703125" style="2" customWidth="1"/>
    <col min="6" max="6" width="23.5703125" style="2" customWidth="1"/>
    <col min="7" max="7" width="27.5703125" style="2" customWidth="1"/>
    <col min="8" max="8" width="51.42578125" style="2" customWidth="1"/>
    <col min="9" max="9" width="27.5703125" style="2" customWidth="1"/>
    <col min="10" max="10" width="14.5703125" style="1" customWidth="1"/>
  </cols>
  <sheetData>
    <row r="1" spans="1:52" s="94" customFormat="1" ht="54" customHeight="1" x14ac:dyDescent="0.25">
      <c r="A1" s="32" t="s">
        <v>116</v>
      </c>
      <c r="B1" s="32" t="s">
        <v>17</v>
      </c>
      <c r="C1" s="32" t="s">
        <v>2</v>
      </c>
      <c r="D1" s="32" t="s">
        <v>153</v>
      </c>
      <c r="E1" s="32" t="s">
        <v>18</v>
      </c>
      <c r="F1" s="32" t="s">
        <v>19</v>
      </c>
      <c r="G1" s="32" t="s">
        <v>53</v>
      </c>
      <c r="H1" s="97" t="s">
        <v>154</v>
      </c>
      <c r="I1" s="107" t="s">
        <v>155</v>
      </c>
      <c r="J1" s="33" t="s">
        <v>156</v>
      </c>
      <c r="K1"/>
      <c r="L1"/>
      <c r="M1"/>
      <c r="N1"/>
      <c r="O1"/>
      <c r="P1"/>
      <c r="Q1"/>
      <c r="R1"/>
      <c r="S1"/>
      <c r="T1"/>
      <c r="U1"/>
      <c r="V1"/>
      <c r="W1"/>
      <c r="X1"/>
      <c r="Y1"/>
      <c r="Z1"/>
      <c r="AA1"/>
      <c r="AB1"/>
      <c r="AC1"/>
      <c r="AD1"/>
      <c r="AE1"/>
      <c r="AF1"/>
      <c r="AG1"/>
      <c r="AH1"/>
      <c r="AI1"/>
      <c r="AJ1"/>
      <c r="AK1"/>
      <c r="AL1"/>
      <c r="AM1"/>
      <c r="AN1"/>
      <c r="AO1"/>
      <c r="AP1"/>
      <c r="AQ1"/>
      <c r="AR1"/>
      <c r="AS1"/>
      <c r="AT1"/>
      <c r="AU1"/>
      <c r="AV1"/>
      <c r="AW1"/>
      <c r="AX1"/>
      <c r="AY1"/>
      <c r="AZ1"/>
    </row>
    <row r="2" spans="1:52" s="1" customFormat="1" ht="86.45" customHeight="1" x14ac:dyDescent="0.25">
      <c r="A2" s="95">
        <v>1</v>
      </c>
      <c r="B2" s="327" t="s">
        <v>157</v>
      </c>
      <c r="C2" s="103" t="s">
        <v>158</v>
      </c>
      <c r="D2" s="28" t="s">
        <v>159</v>
      </c>
      <c r="E2" s="305" t="s">
        <v>160</v>
      </c>
      <c r="F2" s="306" t="s">
        <v>161</v>
      </c>
      <c r="G2" s="29" t="s">
        <v>162</v>
      </c>
      <c r="H2" s="103" t="s">
        <v>163</v>
      </c>
      <c r="I2" s="108" t="s">
        <v>164</v>
      </c>
      <c r="J2" s="34" t="s">
        <v>6</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row>
    <row r="3" spans="1:52" s="1" customFormat="1" ht="86.45" customHeight="1" x14ac:dyDescent="0.25">
      <c r="A3" s="95">
        <v>2</v>
      </c>
      <c r="B3" s="328"/>
      <c r="C3" s="103" t="s">
        <v>165</v>
      </c>
      <c r="D3" s="28" t="s">
        <v>159</v>
      </c>
      <c r="E3" s="305"/>
      <c r="F3" s="306"/>
      <c r="G3" s="29" t="s">
        <v>166</v>
      </c>
      <c r="H3" s="103" t="s">
        <v>167</v>
      </c>
      <c r="I3" s="108" t="s">
        <v>164</v>
      </c>
      <c r="J3" s="34" t="s">
        <v>6</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52" s="1" customFormat="1" ht="86.45" customHeight="1" x14ac:dyDescent="0.25">
      <c r="A4" s="95">
        <v>3</v>
      </c>
      <c r="B4" s="328"/>
      <c r="C4" s="103" t="s">
        <v>168</v>
      </c>
      <c r="D4" s="28" t="s">
        <v>159</v>
      </c>
      <c r="E4" s="305"/>
      <c r="F4" s="306"/>
      <c r="G4" s="29" t="s">
        <v>169</v>
      </c>
      <c r="H4" s="103" t="s">
        <v>170</v>
      </c>
      <c r="I4" s="108" t="s">
        <v>164</v>
      </c>
      <c r="J4" s="34" t="s">
        <v>6</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row>
    <row r="5" spans="1:52" s="1" customFormat="1" ht="86.45" customHeight="1" x14ac:dyDescent="0.25">
      <c r="A5" s="95">
        <v>4</v>
      </c>
      <c r="B5" s="328"/>
      <c r="C5" s="103" t="s">
        <v>171</v>
      </c>
      <c r="D5" s="28" t="s">
        <v>159</v>
      </c>
      <c r="E5" s="305"/>
      <c r="F5" s="306"/>
      <c r="G5" s="29" t="s">
        <v>172</v>
      </c>
      <c r="H5" s="103" t="s">
        <v>173</v>
      </c>
      <c r="I5" s="108" t="s">
        <v>164</v>
      </c>
      <c r="J5" s="34" t="s">
        <v>6</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row>
    <row r="6" spans="1:52" s="1" customFormat="1" ht="86.45" customHeight="1" x14ac:dyDescent="0.25">
      <c r="A6" s="95">
        <v>5</v>
      </c>
      <c r="B6" s="328"/>
      <c r="C6" s="103" t="s">
        <v>174</v>
      </c>
      <c r="D6" s="28" t="s">
        <v>159</v>
      </c>
      <c r="E6" s="305"/>
      <c r="F6" s="306"/>
      <c r="G6" s="29" t="s">
        <v>175</v>
      </c>
      <c r="H6" s="103" t="s">
        <v>176</v>
      </c>
      <c r="I6" s="108" t="s">
        <v>164</v>
      </c>
      <c r="J6" s="34" t="s">
        <v>6</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row>
    <row r="7" spans="1:52" s="1" customFormat="1" ht="86.45" customHeight="1" x14ac:dyDescent="0.25">
      <c r="A7" s="95">
        <v>6</v>
      </c>
      <c r="B7" s="328"/>
      <c r="C7" s="103" t="s">
        <v>177</v>
      </c>
      <c r="D7" s="28" t="s">
        <v>159</v>
      </c>
      <c r="E7" s="305"/>
      <c r="F7" s="306"/>
      <c r="G7" s="29" t="s">
        <v>162</v>
      </c>
      <c r="H7" s="103" t="s">
        <v>178</v>
      </c>
      <c r="I7" s="108" t="s">
        <v>164</v>
      </c>
      <c r="J7" s="34" t="s">
        <v>6</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row>
    <row r="8" spans="1:52" s="1" customFormat="1" ht="86.45" customHeight="1" x14ac:dyDescent="0.25">
      <c r="A8" s="96">
        <v>7</v>
      </c>
      <c r="B8" s="329"/>
      <c r="C8" s="103" t="s">
        <v>179</v>
      </c>
      <c r="D8" s="28" t="s">
        <v>180</v>
      </c>
      <c r="E8" s="305"/>
      <c r="F8" s="306"/>
      <c r="G8" s="29" t="s">
        <v>181</v>
      </c>
      <c r="H8" s="103" t="s">
        <v>182</v>
      </c>
      <c r="I8" s="108" t="s">
        <v>164</v>
      </c>
      <c r="J8" s="34" t="s">
        <v>6</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row>
    <row r="9" spans="1:52" s="1" customFormat="1" ht="15" customHeight="1" x14ac:dyDescent="0.25">
      <c r="A9" s="100"/>
      <c r="B9" s="101"/>
      <c r="C9" s="104"/>
      <c r="D9" s="101"/>
      <c r="E9" s="106"/>
      <c r="F9" s="106"/>
      <c r="G9" s="101"/>
      <c r="H9" s="104"/>
      <c r="I9" s="109"/>
      <c r="J9" s="113"/>
      <c r="K9"/>
      <c r="L9"/>
      <c r="M9"/>
      <c r="N9"/>
      <c r="O9"/>
      <c r="P9"/>
      <c r="Q9"/>
      <c r="R9"/>
      <c r="S9"/>
      <c r="T9"/>
      <c r="U9"/>
      <c r="V9"/>
      <c r="W9"/>
      <c r="X9"/>
      <c r="Y9"/>
      <c r="Z9"/>
      <c r="AA9"/>
      <c r="AB9"/>
      <c r="AC9"/>
      <c r="AD9"/>
      <c r="AE9"/>
      <c r="AF9"/>
      <c r="AG9"/>
      <c r="AH9"/>
      <c r="AI9"/>
      <c r="AJ9"/>
      <c r="AK9"/>
      <c r="AL9"/>
      <c r="AM9"/>
      <c r="AN9"/>
      <c r="AO9"/>
      <c r="AP9"/>
      <c r="AQ9"/>
      <c r="AR9"/>
      <c r="AS9"/>
      <c r="AT9"/>
      <c r="AU9"/>
      <c r="AV9"/>
      <c r="AW9"/>
      <c r="AX9"/>
      <c r="AY9"/>
      <c r="AZ9"/>
    </row>
    <row r="10" spans="1:52" s="1" customFormat="1" ht="86.45" customHeight="1" x14ac:dyDescent="0.25">
      <c r="A10" s="95">
        <v>8</v>
      </c>
      <c r="B10" s="330" t="s">
        <v>183</v>
      </c>
      <c r="C10" s="103" t="s">
        <v>184</v>
      </c>
      <c r="D10" s="28" t="s">
        <v>159</v>
      </c>
      <c r="E10" s="304" t="s">
        <v>160</v>
      </c>
      <c r="F10" s="301" t="s">
        <v>161</v>
      </c>
      <c r="G10" s="29" t="s">
        <v>185</v>
      </c>
      <c r="H10" s="103" t="s">
        <v>186</v>
      </c>
      <c r="I10" s="108" t="s">
        <v>187</v>
      </c>
      <c r="J10" s="34" t="s">
        <v>6</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row>
    <row r="11" spans="1:52" s="1" customFormat="1" ht="86.45" customHeight="1" x14ac:dyDescent="0.25">
      <c r="A11" s="95">
        <v>9</v>
      </c>
      <c r="B11" s="331"/>
      <c r="C11" s="103" t="s">
        <v>188</v>
      </c>
      <c r="D11" s="28" t="s">
        <v>159</v>
      </c>
      <c r="E11" s="302"/>
      <c r="F11" s="307"/>
      <c r="G11" s="29" t="s">
        <v>189</v>
      </c>
      <c r="H11" s="103" t="s">
        <v>190</v>
      </c>
      <c r="I11" s="108" t="s">
        <v>187</v>
      </c>
      <c r="J11" s="34" t="s">
        <v>6</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row>
    <row r="12" spans="1:52" s="1" customFormat="1" ht="86.45" customHeight="1" x14ac:dyDescent="0.25">
      <c r="A12" s="95">
        <v>10</v>
      </c>
      <c r="B12" s="331"/>
      <c r="C12" s="103" t="s">
        <v>191</v>
      </c>
      <c r="D12" s="28" t="s">
        <v>159</v>
      </c>
      <c r="E12" s="302"/>
      <c r="F12" s="307"/>
      <c r="G12" s="29" t="s">
        <v>192</v>
      </c>
      <c r="H12" s="103" t="s">
        <v>193</v>
      </c>
      <c r="I12" s="108" t="s">
        <v>187</v>
      </c>
      <c r="J12" s="34" t="s">
        <v>6</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row>
    <row r="13" spans="1:52" s="1" customFormat="1" ht="86.45" customHeight="1" x14ac:dyDescent="0.25">
      <c r="A13" s="95">
        <v>11</v>
      </c>
      <c r="B13" s="331"/>
      <c r="C13" s="103" t="s">
        <v>194</v>
      </c>
      <c r="D13" s="28" t="s">
        <v>159</v>
      </c>
      <c r="E13" s="302"/>
      <c r="F13" s="307"/>
      <c r="G13" s="29" t="s">
        <v>195</v>
      </c>
      <c r="H13" s="103" t="s">
        <v>196</v>
      </c>
      <c r="I13" s="108" t="s">
        <v>187</v>
      </c>
      <c r="J13" s="34" t="s">
        <v>6</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row>
    <row r="14" spans="1:52" s="1" customFormat="1" ht="86.45" customHeight="1" x14ac:dyDescent="0.25">
      <c r="A14" s="95">
        <v>12</v>
      </c>
      <c r="B14" s="332"/>
      <c r="C14" s="103" t="s">
        <v>197</v>
      </c>
      <c r="D14" s="28" t="s">
        <v>159</v>
      </c>
      <c r="E14" s="303"/>
      <c r="F14" s="308"/>
      <c r="G14" s="29" t="s">
        <v>198</v>
      </c>
      <c r="H14" s="103" t="s">
        <v>199</v>
      </c>
      <c r="I14" s="108" t="s">
        <v>187</v>
      </c>
      <c r="J14" s="34" t="s">
        <v>6</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row>
    <row r="15" spans="1:52" s="1" customFormat="1" x14ac:dyDescent="0.25">
      <c r="A15" s="100"/>
      <c r="B15" s="101"/>
      <c r="C15" s="104"/>
      <c r="D15" s="101"/>
      <c r="E15" s="101"/>
      <c r="F15" s="101"/>
      <c r="G15" s="101"/>
      <c r="H15" s="104"/>
      <c r="I15" s="109"/>
      <c r="J15" s="113"/>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row>
    <row r="16" spans="1:52" s="1" customFormat="1" ht="86.45" customHeight="1" x14ac:dyDescent="0.25">
      <c r="A16" s="95">
        <v>13</v>
      </c>
      <c r="B16" s="330" t="s">
        <v>200</v>
      </c>
      <c r="C16" s="103" t="s">
        <v>201</v>
      </c>
      <c r="D16" s="28" t="s">
        <v>159</v>
      </c>
      <c r="E16" s="304" t="s">
        <v>160</v>
      </c>
      <c r="F16" s="301" t="s">
        <v>161</v>
      </c>
      <c r="G16" s="29" t="s">
        <v>202</v>
      </c>
      <c r="H16" s="103" t="s">
        <v>203</v>
      </c>
      <c r="I16" s="108" t="s">
        <v>204</v>
      </c>
      <c r="J16" s="34" t="s">
        <v>6</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row>
    <row r="17" spans="1:52" s="1" customFormat="1" ht="86.45" customHeight="1" x14ac:dyDescent="0.25">
      <c r="A17" s="95">
        <v>14</v>
      </c>
      <c r="B17" s="331"/>
      <c r="C17" s="103" t="s">
        <v>205</v>
      </c>
      <c r="D17" s="28" t="s">
        <v>159</v>
      </c>
      <c r="E17" s="302"/>
      <c r="F17" s="307"/>
      <c r="G17" s="29" t="s">
        <v>206</v>
      </c>
      <c r="H17" s="103" t="s">
        <v>207</v>
      </c>
      <c r="I17" s="108" t="s">
        <v>204</v>
      </c>
      <c r="J17" s="34" t="s">
        <v>6</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row>
    <row r="18" spans="1:52" s="1" customFormat="1" ht="86.45" customHeight="1" x14ac:dyDescent="0.25">
      <c r="A18" s="95">
        <v>15</v>
      </c>
      <c r="B18" s="331"/>
      <c r="C18" s="103" t="s">
        <v>208</v>
      </c>
      <c r="D18" s="28" t="s">
        <v>159</v>
      </c>
      <c r="E18" s="302"/>
      <c r="F18" s="307"/>
      <c r="G18" s="29" t="s">
        <v>209</v>
      </c>
      <c r="H18" s="103" t="s">
        <v>210</v>
      </c>
      <c r="I18" s="108" t="s">
        <v>204</v>
      </c>
      <c r="J18" s="34" t="s">
        <v>6</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row>
    <row r="19" spans="1:52" s="1" customFormat="1" ht="86.45" customHeight="1" x14ac:dyDescent="0.25">
      <c r="A19" s="95">
        <v>16</v>
      </c>
      <c r="B19" s="331"/>
      <c r="C19" s="103" t="s">
        <v>211</v>
      </c>
      <c r="D19" s="28" t="s">
        <v>159</v>
      </c>
      <c r="E19" s="302"/>
      <c r="F19" s="307"/>
      <c r="G19" s="29" t="s">
        <v>212</v>
      </c>
      <c r="H19" s="103" t="s">
        <v>213</v>
      </c>
      <c r="I19" s="108" t="s">
        <v>204</v>
      </c>
      <c r="J19" s="34" t="s">
        <v>6</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row>
    <row r="20" spans="1:52" s="1" customFormat="1" ht="86.45" customHeight="1" x14ac:dyDescent="0.25">
      <c r="A20" s="95">
        <v>17</v>
      </c>
      <c r="B20" s="332"/>
      <c r="C20" s="103" t="s">
        <v>214</v>
      </c>
      <c r="D20" s="28" t="s">
        <v>159</v>
      </c>
      <c r="E20" s="303"/>
      <c r="F20" s="308"/>
      <c r="G20" s="29" t="s">
        <v>215</v>
      </c>
      <c r="H20" s="103" t="s">
        <v>216</v>
      </c>
      <c r="I20" s="108" t="s">
        <v>204</v>
      </c>
      <c r="J20" s="34" t="s">
        <v>6</v>
      </c>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row>
    <row r="21" spans="1:52" s="1" customFormat="1" x14ac:dyDescent="0.25">
      <c r="A21" s="100"/>
      <c r="B21" s="101"/>
      <c r="C21" s="104"/>
      <c r="D21" s="101"/>
      <c r="E21" s="101"/>
      <c r="F21" s="101"/>
      <c r="G21" s="101"/>
      <c r="H21" s="104"/>
      <c r="I21" s="109"/>
      <c r="J21" s="113"/>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row>
    <row r="22" spans="1:52" s="1" customFormat="1" ht="86.45" customHeight="1" x14ac:dyDescent="0.25">
      <c r="A22" s="95">
        <v>18</v>
      </c>
      <c r="B22" s="330" t="s">
        <v>217</v>
      </c>
      <c r="C22" s="103" t="s">
        <v>218</v>
      </c>
      <c r="D22" s="28" t="s">
        <v>159</v>
      </c>
      <c r="E22" s="304" t="s">
        <v>160</v>
      </c>
      <c r="F22" s="301" t="s">
        <v>161</v>
      </c>
      <c r="G22" s="29" t="s">
        <v>219</v>
      </c>
      <c r="H22" s="103" t="s">
        <v>220</v>
      </c>
      <c r="I22" s="108" t="s">
        <v>221</v>
      </c>
      <c r="J22" s="34" t="s">
        <v>6</v>
      </c>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row>
    <row r="23" spans="1:52" s="1" customFormat="1" ht="86.45" customHeight="1" x14ac:dyDescent="0.25">
      <c r="A23" s="95">
        <v>19</v>
      </c>
      <c r="B23" s="331"/>
      <c r="C23" s="103" t="s">
        <v>222</v>
      </c>
      <c r="D23" s="28" t="s">
        <v>159</v>
      </c>
      <c r="E23" s="302"/>
      <c r="F23" s="307"/>
      <c r="G23" s="29" t="s">
        <v>223</v>
      </c>
      <c r="H23" s="103" t="s">
        <v>224</v>
      </c>
      <c r="I23" s="108" t="s">
        <v>221</v>
      </c>
      <c r="J23" s="34" t="s">
        <v>6</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row>
    <row r="24" spans="1:52" s="1" customFormat="1" ht="86.45" customHeight="1" x14ac:dyDescent="0.25">
      <c r="A24" s="95">
        <v>20</v>
      </c>
      <c r="B24" s="331"/>
      <c r="C24" s="103" t="s">
        <v>225</v>
      </c>
      <c r="D24" s="28" t="s">
        <v>159</v>
      </c>
      <c r="E24" s="302"/>
      <c r="F24" s="307"/>
      <c r="G24" s="29" t="s">
        <v>226</v>
      </c>
      <c r="H24" s="103" t="s">
        <v>227</v>
      </c>
      <c r="I24" s="108" t="s">
        <v>221</v>
      </c>
      <c r="J24" s="34" t="s">
        <v>6</v>
      </c>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row>
    <row r="25" spans="1:52" s="1" customFormat="1" ht="86.45" customHeight="1" x14ac:dyDescent="0.25">
      <c r="A25" s="95">
        <v>21</v>
      </c>
      <c r="B25" s="331"/>
      <c r="C25" s="103" t="s">
        <v>228</v>
      </c>
      <c r="D25" s="28" t="s">
        <v>159</v>
      </c>
      <c r="E25" s="302"/>
      <c r="F25" s="307"/>
      <c r="G25" s="29" t="s">
        <v>229</v>
      </c>
      <c r="H25" s="103" t="s">
        <v>230</v>
      </c>
      <c r="I25" s="108" t="s">
        <v>221</v>
      </c>
      <c r="J25" s="34" t="s">
        <v>6</v>
      </c>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row>
    <row r="26" spans="1:52" s="1" customFormat="1" ht="86.45" customHeight="1" x14ac:dyDescent="0.25">
      <c r="A26" s="95">
        <v>22</v>
      </c>
      <c r="B26" s="332"/>
      <c r="C26" s="103" t="s">
        <v>231</v>
      </c>
      <c r="D26" s="28" t="s">
        <v>159</v>
      </c>
      <c r="E26" s="303"/>
      <c r="F26" s="308"/>
      <c r="G26" s="29" t="s">
        <v>232</v>
      </c>
      <c r="H26" s="103" t="s">
        <v>233</v>
      </c>
      <c r="I26" s="108" t="s">
        <v>221</v>
      </c>
      <c r="J26" s="34" t="s">
        <v>6</v>
      </c>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row>
    <row r="27" spans="1:52" hidden="1" x14ac:dyDescent="0.25">
      <c r="A27" s="100"/>
      <c r="B27" s="101"/>
      <c r="C27" s="104"/>
      <c r="D27" s="101"/>
      <c r="E27" s="101"/>
      <c r="F27" s="101"/>
      <c r="G27" s="101"/>
      <c r="H27" s="104"/>
      <c r="I27" s="109"/>
      <c r="J27" s="113"/>
    </row>
    <row r="28" spans="1:52" s="98" customFormat="1" ht="43.35" hidden="1" customHeight="1" x14ac:dyDescent="0.25">
      <c r="A28" s="95">
        <v>23</v>
      </c>
      <c r="B28" s="102" t="s">
        <v>234</v>
      </c>
      <c r="C28" s="25" t="s">
        <v>235</v>
      </c>
      <c r="D28" s="28" t="s">
        <v>159</v>
      </c>
      <c r="E28" s="28"/>
      <c r="F28" s="28"/>
      <c r="G28" s="28"/>
      <c r="H28" s="25" t="s">
        <v>236</v>
      </c>
      <c r="I28" s="110" t="s">
        <v>187</v>
      </c>
      <c r="J28" s="34" t="s">
        <v>6</v>
      </c>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row>
    <row r="29" spans="1:52" s="98" customFormat="1" ht="27" hidden="1" customHeight="1" x14ac:dyDescent="0.25">
      <c r="A29" s="100"/>
      <c r="B29" s="101"/>
      <c r="C29" s="105"/>
      <c r="D29" s="101"/>
      <c r="E29" s="101"/>
      <c r="F29" s="101"/>
      <c r="G29" s="101"/>
      <c r="H29" s="105"/>
      <c r="I29" s="111"/>
      <c r="J29" s="9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row>
    <row r="30" spans="1:52" hidden="1" x14ac:dyDescent="0.25">
      <c r="A30" s="100"/>
      <c r="B30" s="101"/>
      <c r="C30" s="105"/>
      <c r="D30" s="101"/>
      <c r="E30" s="101"/>
      <c r="F30" s="101"/>
      <c r="G30" s="101"/>
      <c r="H30" s="105"/>
      <c r="I30" s="112"/>
    </row>
    <row r="32" spans="1:52" x14ac:dyDescent="0.25">
      <c r="J32"/>
    </row>
    <row r="33" spans="10:10" x14ac:dyDescent="0.25">
      <c r="J33"/>
    </row>
    <row r="34" spans="10:10" x14ac:dyDescent="0.25">
      <c r="J34"/>
    </row>
    <row r="35" spans="10:10" x14ac:dyDescent="0.25">
      <c r="J35"/>
    </row>
    <row r="36" spans="10:10" x14ac:dyDescent="0.25">
      <c r="J36"/>
    </row>
    <row r="37" spans="10:10" x14ac:dyDescent="0.25">
      <c r="J37"/>
    </row>
    <row r="38" spans="10:10" x14ac:dyDescent="0.25">
      <c r="J38"/>
    </row>
    <row r="39" spans="10:10" x14ac:dyDescent="0.25">
      <c r="J39"/>
    </row>
    <row r="40" spans="10:10" x14ac:dyDescent="0.25">
      <c r="J40"/>
    </row>
    <row r="41" spans="10:10" x14ac:dyDescent="0.25">
      <c r="J41"/>
    </row>
    <row r="42" spans="10:10" x14ac:dyDescent="0.25">
      <c r="J42"/>
    </row>
    <row r="43" spans="10:10" x14ac:dyDescent="0.25">
      <c r="J43"/>
    </row>
    <row r="44" spans="10:10" x14ac:dyDescent="0.25">
      <c r="J44"/>
    </row>
    <row r="45" spans="10:10" x14ac:dyDescent="0.25">
      <c r="J45"/>
    </row>
    <row r="46" spans="10:10" x14ac:dyDescent="0.25">
      <c r="J46"/>
    </row>
    <row r="47" spans="10:10" x14ac:dyDescent="0.25">
      <c r="J47"/>
    </row>
    <row r="48" spans="10:10" x14ac:dyDescent="0.25">
      <c r="J48"/>
    </row>
    <row r="49" spans="10:10" x14ac:dyDescent="0.25">
      <c r="J49"/>
    </row>
    <row r="50" spans="10:10" x14ac:dyDescent="0.25">
      <c r="J50"/>
    </row>
    <row r="51" spans="10:10" x14ac:dyDescent="0.25">
      <c r="J51"/>
    </row>
    <row r="52" spans="10:10" x14ac:dyDescent="0.25">
      <c r="J52"/>
    </row>
    <row r="53" spans="10:10" x14ac:dyDescent="0.25">
      <c r="J53"/>
    </row>
    <row r="54" spans="10:10" x14ac:dyDescent="0.25">
      <c r="J54"/>
    </row>
    <row r="55" spans="10:10" x14ac:dyDescent="0.25">
      <c r="J55"/>
    </row>
    <row r="56" spans="10:10" x14ac:dyDescent="0.25">
      <c r="J56"/>
    </row>
    <row r="57" spans="10:10" x14ac:dyDescent="0.25">
      <c r="J57"/>
    </row>
    <row r="58" spans="10:10" x14ac:dyDescent="0.25">
      <c r="J58"/>
    </row>
    <row r="59" spans="10:10" x14ac:dyDescent="0.25">
      <c r="J59"/>
    </row>
    <row r="60" spans="10:10" x14ac:dyDescent="0.25">
      <c r="J60"/>
    </row>
    <row r="61" spans="10:10" x14ac:dyDescent="0.25">
      <c r="J61"/>
    </row>
    <row r="62" spans="10:10" x14ac:dyDescent="0.25">
      <c r="J62"/>
    </row>
    <row r="63" spans="10:10" x14ac:dyDescent="0.25">
      <c r="J63"/>
    </row>
    <row r="64" spans="10:10" x14ac:dyDescent="0.25">
      <c r="J64"/>
    </row>
    <row r="65" spans="10:10" x14ac:dyDescent="0.25">
      <c r="J65"/>
    </row>
    <row r="66" spans="10:10" x14ac:dyDescent="0.25">
      <c r="J66"/>
    </row>
    <row r="67" spans="10:10" x14ac:dyDescent="0.25">
      <c r="J67"/>
    </row>
    <row r="68" spans="10:10" x14ac:dyDescent="0.25">
      <c r="J68"/>
    </row>
    <row r="69" spans="10:10" x14ac:dyDescent="0.25">
      <c r="J69"/>
    </row>
    <row r="70" spans="10:10" x14ac:dyDescent="0.25">
      <c r="J70"/>
    </row>
    <row r="71" spans="10:10" x14ac:dyDescent="0.25">
      <c r="J71"/>
    </row>
    <row r="72" spans="10:10" x14ac:dyDescent="0.25">
      <c r="J72"/>
    </row>
    <row r="73" spans="10:10" x14ac:dyDescent="0.25">
      <c r="J73"/>
    </row>
    <row r="74" spans="10:10" x14ac:dyDescent="0.25">
      <c r="J74"/>
    </row>
    <row r="75" spans="10:10" x14ac:dyDescent="0.25">
      <c r="J75"/>
    </row>
    <row r="76" spans="10:10" x14ac:dyDescent="0.25">
      <c r="J76"/>
    </row>
    <row r="77" spans="10:10" x14ac:dyDescent="0.25">
      <c r="J77"/>
    </row>
    <row r="78" spans="10:10" x14ac:dyDescent="0.25">
      <c r="J78"/>
    </row>
    <row r="79" spans="10:10" x14ac:dyDescent="0.25">
      <c r="J79"/>
    </row>
    <row r="80" spans="10:10" x14ac:dyDescent="0.25">
      <c r="J80"/>
    </row>
    <row r="81" spans="10:10" x14ac:dyDescent="0.25">
      <c r="J81"/>
    </row>
    <row r="82" spans="10:10" x14ac:dyDescent="0.25">
      <c r="J82"/>
    </row>
    <row r="83" spans="10:10" x14ac:dyDescent="0.25">
      <c r="J83"/>
    </row>
    <row r="84" spans="10:10" x14ac:dyDescent="0.25">
      <c r="J84"/>
    </row>
    <row r="85" spans="10:10" x14ac:dyDescent="0.25">
      <c r="J85"/>
    </row>
    <row r="86" spans="10:10" x14ac:dyDescent="0.25">
      <c r="J86"/>
    </row>
    <row r="87" spans="10:10" x14ac:dyDescent="0.25">
      <c r="J87"/>
    </row>
    <row r="88" spans="10:10" x14ac:dyDescent="0.25">
      <c r="J88"/>
    </row>
    <row r="89" spans="10:10" x14ac:dyDescent="0.25">
      <c r="J89"/>
    </row>
    <row r="90" spans="10:10" x14ac:dyDescent="0.25">
      <c r="J90"/>
    </row>
    <row r="91" spans="10:10" x14ac:dyDescent="0.25">
      <c r="J91"/>
    </row>
    <row r="92" spans="10:10" x14ac:dyDescent="0.25">
      <c r="J92"/>
    </row>
    <row r="93" spans="10:10" x14ac:dyDescent="0.25">
      <c r="J93"/>
    </row>
    <row r="94" spans="10:10" x14ac:dyDescent="0.25">
      <c r="J94"/>
    </row>
    <row r="95" spans="10:10" x14ac:dyDescent="0.25">
      <c r="J95"/>
    </row>
    <row r="96" spans="10:10" x14ac:dyDescent="0.25">
      <c r="J96"/>
    </row>
    <row r="97" spans="10:10" x14ac:dyDescent="0.25">
      <c r="J97"/>
    </row>
    <row r="98" spans="10:10" x14ac:dyDescent="0.25">
      <c r="J98"/>
    </row>
    <row r="99" spans="10:10" x14ac:dyDescent="0.25">
      <c r="J99"/>
    </row>
    <row r="100" spans="10:10" x14ac:dyDescent="0.25">
      <c r="J100"/>
    </row>
    <row r="101" spans="10:10" x14ac:dyDescent="0.25">
      <c r="J101"/>
    </row>
    <row r="102" spans="10:10" x14ac:dyDescent="0.25">
      <c r="J102"/>
    </row>
    <row r="103" spans="10:10" x14ac:dyDescent="0.25">
      <c r="J103"/>
    </row>
    <row r="104" spans="10:10" x14ac:dyDescent="0.25">
      <c r="J104"/>
    </row>
    <row r="105" spans="10:10" x14ac:dyDescent="0.25">
      <c r="J105"/>
    </row>
    <row r="106" spans="10:10" x14ac:dyDescent="0.25">
      <c r="J106"/>
    </row>
    <row r="107" spans="10:10" x14ac:dyDescent="0.25">
      <c r="J107"/>
    </row>
    <row r="108" spans="10:10" x14ac:dyDescent="0.25">
      <c r="J108"/>
    </row>
    <row r="109" spans="10:10" x14ac:dyDescent="0.25">
      <c r="J109"/>
    </row>
    <row r="110" spans="10:10" x14ac:dyDescent="0.25">
      <c r="J110"/>
    </row>
    <row r="111" spans="10:10" x14ac:dyDescent="0.25">
      <c r="J111"/>
    </row>
    <row r="112" spans="10:10" x14ac:dyDescent="0.25">
      <c r="J112"/>
    </row>
    <row r="113" spans="10:10" x14ac:dyDescent="0.25">
      <c r="J113"/>
    </row>
    <row r="114" spans="10:10" x14ac:dyDescent="0.25">
      <c r="J114"/>
    </row>
    <row r="115" spans="10:10" x14ac:dyDescent="0.25">
      <c r="J115"/>
    </row>
    <row r="116" spans="10:10" x14ac:dyDescent="0.25">
      <c r="J116"/>
    </row>
    <row r="117" spans="10:10" x14ac:dyDescent="0.25">
      <c r="J117"/>
    </row>
    <row r="118" spans="10:10" x14ac:dyDescent="0.25">
      <c r="J118"/>
    </row>
    <row r="119" spans="10:10" x14ac:dyDescent="0.25">
      <c r="J119"/>
    </row>
    <row r="120" spans="10:10" x14ac:dyDescent="0.25">
      <c r="J120"/>
    </row>
    <row r="121" spans="10:10" x14ac:dyDescent="0.25">
      <c r="J121"/>
    </row>
    <row r="122" spans="10:10" x14ac:dyDescent="0.25">
      <c r="J122"/>
    </row>
    <row r="123" spans="10:10" x14ac:dyDescent="0.25">
      <c r="J123"/>
    </row>
    <row r="124" spans="10:10" x14ac:dyDescent="0.25">
      <c r="J124"/>
    </row>
    <row r="125" spans="10:10" x14ac:dyDescent="0.25">
      <c r="J125"/>
    </row>
    <row r="126" spans="10:10" x14ac:dyDescent="0.25">
      <c r="J126"/>
    </row>
    <row r="127" spans="10:10" x14ac:dyDescent="0.25">
      <c r="J127"/>
    </row>
    <row r="128" spans="10:10" x14ac:dyDescent="0.25">
      <c r="J128"/>
    </row>
    <row r="129" spans="10:10" x14ac:dyDescent="0.25">
      <c r="J129"/>
    </row>
    <row r="130" spans="10:10" x14ac:dyDescent="0.25">
      <c r="J130"/>
    </row>
    <row r="131" spans="10:10" x14ac:dyDescent="0.25">
      <c r="J131"/>
    </row>
    <row r="132" spans="10:10" x14ac:dyDescent="0.25">
      <c r="J132"/>
    </row>
    <row r="133" spans="10:10" x14ac:dyDescent="0.25">
      <c r="J133"/>
    </row>
    <row r="134" spans="10:10" x14ac:dyDescent="0.25">
      <c r="J134"/>
    </row>
    <row r="135" spans="10:10" x14ac:dyDescent="0.25">
      <c r="J135"/>
    </row>
    <row r="136" spans="10:10" x14ac:dyDescent="0.25">
      <c r="J136"/>
    </row>
    <row r="137" spans="10:10" x14ac:dyDescent="0.25">
      <c r="J137"/>
    </row>
    <row r="138" spans="10:10" x14ac:dyDescent="0.25">
      <c r="J138"/>
    </row>
    <row r="139" spans="10:10" x14ac:dyDescent="0.25">
      <c r="J139"/>
    </row>
    <row r="140" spans="10:10" x14ac:dyDescent="0.25">
      <c r="J140"/>
    </row>
    <row r="141" spans="10:10" x14ac:dyDescent="0.25">
      <c r="J141"/>
    </row>
    <row r="142" spans="10:10" x14ac:dyDescent="0.25">
      <c r="J142"/>
    </row>
    <row r="143" spans="10:10" x14ac:dyDescent="0.25">
      <c r="J143"/>
    </row>
    <row r="144" spans="10:10" x14ac:dyDescent="0.25">
      <c r="J144"/>
    </row>
    <row r="145" spans="10:10" x14ac:dyDescent="0.25">
      <c r="J145"/>
    </row>
    <row r="146" spans="10:10" x14ac:dyDescent="0.25">
      <c r="J146"/>
    </row>
    <row r="147" spans="10:10" x14ac:dyDescent="0.25">
      <c r="J147"/>
    </row>
    <row r="148" spans="10:10" x14ac:dyDescent="0.25">
      <c r="J148"/>
    </row>
    <row r="149" spans="10:10" x14ac:dyDescent="0.25">
      <c r="J149"/>
    </row>
    <row r="150" spans="10:10" x14ac:dyDescent="0.25">
      <c r="J150"/>
    </row>
    <row r="151" spans="10:10" x14ac:dyDescent="0.25">
      <c r="J151"/>
    </row>
    <row r="152" spans="10:10" x14ac:dyDescent="0.25">
      <c r="J152"/>
    </row>
    <row r="153" spans="10:10" x14ac:dyDescent="0.25">
      <c r="J153"/>
    </row>
    <row r="154" spans="10:10" x14ac:dyDescent="0.25">
      <c r="J154"/>
    </row>
    <row r="155" spans="10:10" x14ac:dyDescent="0.25">
      <c r="J155"/>
    </row>
    <row r="156" spans="10:10" x14ac:dyDescent="0.25">
      <c r="J156"/>
    </row>
    <row r="157" spans="10:10" x14ac:dyDescent="0.25">
      <c r="J157"/>
    </row>
    <row r="158" spans="10:10" x14ac:dyDescent="0.25">
      <c r="J158"/>
    </row>
    <row r="159" spans="10:10" x14ac:dyDescent="0.25">
      <c r="J159"/>
    </row>
    <row r="160" spans="10:10" x14ac:dyDescent="0.25">
      <c r="J160"/>
    </row>
    <row r="161" spans="10:10" x14ac:dyDescent="0.25">
      <c r="J161"/>
    </row>
    <row r="162" spans="10:10" x14ac:dyDescent="0.25">
      <c r="J162"/>
    </row>
    <row r="163" spans="10:10" x14ac:dyDescent="0.25">
      <c r="J163"/>
    </row>
    <row r="164" spans="10:10" x14ac:dyDescent="0.25">
      <c r="J164"/>
    </row>
    <row r="165" spans="10:10" x14ac:dyDescent="0.25">
      <c r="J165"/>
    </row>
    <row r="166" spans="10:10" x14ac:dyDescent="0.25">
      <c r="J166"/>
    </row>
    <row r="167" spans="10:10" x14ac:dyDescent="0.25">
      <c r="J167"/>
    </row>
    <row r="168" spans="10:10" x14ac:dyDescent="0.25">
      <c r="J168"/>
    </row>
    <row r="169" spans="10:10" x14ac:dyDescent="0.25">
      <c r="J169"/>
    </row>
    <row r="170" spans="10:10" x14ac:dyDescent="0.25">
      <c r="J170"/>
    </row>
    <row r="171" spans="10:10" x14ac:dyDescent="0.25">
      <c r="J171"/>
    </row>
    <row r="172" spans="10:10" x14ac:dyDescent="0.25">
      <c r="J172"/>
    </row>
    <row r="173" spans="10:10" x14ac:dyDescent="0.25">
      <c r="J173"/>
    </row>
    <row r="174" spans="10:10" x14ac:dyDescent="0.25">
      <c r="J174"/>
    </row>
    <row r="175" spans="10:10" x14ac:dyDescent="0.25">
      <c r="J175"/>
    </row>
    <row r="176" spans="10:10" x14ac:dyDescent="0.25">
      <c r="J176"/>
    </row>
    <row r="177" spans="10:10" x14ac:dyDescent="0.25">
      <c r="J177"/>
    </row>
    <row r="178" spans="10:10" x14ac:dyDescent="0.25">
      <c r="J178"/>
    </row>
    <row r="179" spans="10:10" x14ac:dyDescent="0.25">
      <c r="J179"/>
    </row>
    <row r="180" spans="10:10" x14ac:dyDescent="0.25">
      <c r="J180"/>
    </row>
    <row r="181" spans="10:10" x14ac:dyDescent="0.25">
      <c r="J181"/>
    </row>
    <row r="182" spans="10:10" x14ac:dyDescent="0.25">
      <c r="J182"/>
    </row>
    <row r="183" spans="10:10" x14ac:dyDescent="0.25">
      <c r="J183"/>
    </row>
    <row r="184" spans="10:10" x14ac:dyDescent="0.25">
      <c r="J184"/>
    </row>
    <row r="185" spans="10:10" x14ac:dyDescent="0.25">
      <c r="J185"/>
    </row>
    <row r="186" spans="10:10" x14ac:dyDescent="0.25">
      <c r="J186"/>
    </row>
    <row r="187" spans="10:10" x14ac:dyDescent="0.25">
      <c r="J187"/>
    </row>
    <row r="188" spans="10:10" x14ac:dyDescent="0.25">
      <c r="J188"/>
    </row>
    <row r="189" spans="10:10" x14ac:dyDescent="0.25">
      <c r="J189"/>
    </row>
    <row r="190" spans="10:10" x14ac:dyDescent="0.25">
      <c r="J190"/>
    </row>
    <row r="191" spans="10:10" x14ac:dyDescent="0.25">
      <c r="J191"/>
    </row>
    <row r="192" spans="10:10" x14ac:dyDescent="0.25">
      <c r="J192"/>
    </row>
    <row r="193" spans="10:10" x14ac:dyDescent="0.25">
      <c r="J193"/>
    </row>
    <row r="194" spans="10:10" x14ac:dyDescent="0.25">
      <c r="J194"/>
    </row>
    <row r="195" spans="10:10" x14ac:dyDescent="0.25">
      <c r="J195"/>
    </row>
    <row r="196" spans="10:10" x14ac:dyDescent="0.25">
      <c r="J196"/>
    </row>
    <row r="197" spans="10:10" x14ac:dyDescent="0.25">
      <c r="J197"/>
    </row>
    <row r="198" spans="10:10" x14ac:dyDescent="0.25">
      <c r="J198"/>
    </row>
    <row r="199" spans="10:10" x14ac:dyDescent="0.25">
      <c r="J199"/>
    </row>
    <row r="200" spans="10:10" x14ac:dyDescent="0.25">
      <c r="J200"/>
    </row>
    <row r="201" spans="10:10" x14ac:dyDescent="0.25">
      <c r="J201"/>
    </row>
    <row r="202" spans="10:10" x14ac:dyDescent="0.25">
      <c r="J202"/>
    </row>
    <row r="203" spans="10:10" x14ac:dyDescent="0.25">
      <c r="J203"/>
    </row>
    <row r="204" spans="10:10" x14ac:dyDescent="0.25">
      <c r="J204"/>
    </row>
    <row r="205" spans="10:10" x14ac:dyDescent="0.25">
      <c r="J205"/>
    </row>
    <row r="206" spans="10:10" x14ac:dyDescent="0.25">
      <c r="J206"/>
    </row>
    <row r="207" spans="10:10" x14ac:dyDescent="0.25">
      <c r="J207"/>
    </row>
    <row r="208" spans="10:10" x14ac:dyDescent="0.25">
      <c r="J208"/>
    </row>
    <row r="209" spans="10:10" x14ac:dyDescent="0.25">
      <c r="J209"/>
    </row>
    <row r="210" spans="10:10" x14ac:dyDescent="0.25">
      <c r="J210"/>
    </row>
    <row r="211" spans="10:10" x14ac:dyDescent="0.25">
      <c r="J211"/>
    </row>
    <row r="212" spans="10:10" x14ac:dyDescent="0.25">
      <c r="J212"/>
    </row>
    <row r="213" spans="10:10" x14ac:dyDescent="0.25">
      <c r="J213"/>
    </row>
    <row r="214" spans="10:10" x14ac:dyDescent="0.25">
      <c r="J214"/>
    </row>
    <row r="215" spans="10:10" x14ac:dyDescent="0.25">
      <c r="J215"/>
    </row>
    <row r="216" spans="10:10" x14ac:dyDescent="0.25">
      <c r="J216"/>
    </row>
    <row r="217" spans="10:10" x14ac:dyDescent="0.25">
      <c r="J217"/>
    </row>
    <row r="218" spans="10:10" x14ac:dyDescent="0.25">
      <c r="J218"/>
    </row>
    <row r="219" spans="10:10" x14ac:dyDescent="0.25">
      <c r="J219"/>
    </row>
    <row r="220" spans="10:10" x14ac:dyDescent="0.25">
      <c r="J220"/>
    </row>
    <row r="221" spans="10:10" x14ac:dyDescent="0.25">
      <c r="J221"/>
    </row>
    <row r="222" spans="10:10" x14ac:dyDescent="0.25">
      <c r="J222"/>
    </row>
    <row r="223" spans="10:10" x14ac:dyDescent="0.25">
      <c r="J223"/>
    </row>
    <row r="224" spans="10:10" x14ac:dyDescent="0.25">
      <c r="J224"/>
    </row>
    <row r="225" spans="10:10" x14ac:dyDescent="0.25">
      <c r="J225"/>
    </row>
    <row r="226" spans="10:10" x14ac:dyDescent="0.25">
      <c r="J226"/>
    </row>
    <row r="227" spans="10:10" x14ac:dyDescent="0.25">
      <c r="J227"/>
    </row>
    <row r="228" spans="10:10" x14ac:dyDescent="0.25">
      <c r="J228"/>
    </row>
    <row r="229" spans="10:10" x14ac:dyDescent="0.25">
      <c r="J229"/>
    </row>
    <row r="230" spans="10:10" x14ac:dyDescent="0.25">
      <c r="J230"/>
    </row>
    <row r="231" spans="10:10" x14ac:dyDescent="0.25">
      <c r="J231"/>
    </row>
    <row r="232" spans="10:10" x14ac:dyDescent="0.25">
      <c r="J232"/>
    </row>
    <row r="233" spans="10:10" x14ac:dyDescent="0.25">
      <c r="J233"/>
    </row>
    <row r="234" spans="10:10" x14ac:dyDescent="0.25">
      <c r="J234"/>
    </row>
    <row r="235" spans="10:10" x14ac:dyDescent="0.25">
      <c r="J235"/>
    </row>
    <row r="236" spans="10:10" x14ac:dyDescent="0.25">
      <c r="J236"/>
    </row>
    <row r="237" spans="10:10" x14ac:dyDescent="0.25">
      <c r="J237"/>
    </row>
    <row r="238" spans="10:10" x14ac:dyDescent="0.25">
      <c r="J238"/>
    </row>
    <row r="239" spans="10:10" x14ac:dyDescent="0.25">
      <c r="J239"/>
    </row>
    <row r="240" spans="10:10" x14ac:dyDescent="0.25">
      <c r="J240"/>
    </row>
    <row r="241" spans="10:10" x14ac:dyDescent="0.25">
      <c r="J241"/>
    </row>
    <row r="242" spans="10:10" x14ac:dyDescent="0.25">
      <c r="J242"/>
    </row>
    <row r="243" spans="10:10" x14ac:dyDescent="0.25">
      <c r="J243"/>
    </row>
    <row r="244" spans="10:10" x14ac:dyDescent="0.25">
      <c r="J244"/>
    </row>
    <row r="245" spans="10:10" x14ac:dyDescent="0.25">
      <c r="J245"/>
    </row>
    <row r="246" spans="10:10" x14ac:dyDescent="0.25">
      <c r="J246"/>
    </row>
    <row r="247" spans="10:10" x14ac:dyDescent="0.25">
      <c r="J247"/>
    </row>
    <row r="248" spans="10:10" x14ac:dyDescent="0.25">
      <c r="J248"/>
    </row>
    <row r="249" spans="10:10" x14ac:dyDescent="0.25">
      <c r="J249"/>
    </row>
    <row r="250" spans="10:10" x14ac:dyDescent="0.25">
      <c r="J250"/>
    </row>
    <row r="251" spans="10:10" x14ac:dyDescent="0.25">
      <c r="J251"/>
    </row>
    <row r="252" spans="10:10" x14ac:dyDescent="0.25">
      <c r="J252"/>
    </row>
    <row r="253" spans="10:10" x14ac:dyDescent="0.25">
      <c r="J253"/>
    </row>
    <row r="254" spans="10:10" x14ac:dyDescent="0.25">
      <c r="J254"/>
    </row>
    <row r="255" spans="10:10" x14ac:dyDescent="0.25">
      <c r="J255"/>
    </row>
    <row r="256" spans="10:10" x14ac:dyDescent="0.25">
      <c r="J256"/>
    </row>
    <row r="257" spans="10:10" x14ac:dyDescent="0.25">
      <c r="J257"/>
    </row>
    <row r="258" spans="10:10" x14ac:dyDescent="0.25">
      <c r="J258"/>
    </row>
    <row r="259" spans="10:10" x14ac:dyDescent="0.25">
      <c r="J259"/>
    </row>
    <row r="260" spans="10:10" x14ac:dyDescent="0.25">
      <c r="J260"/>
    </row>
    <row r="261" spans="10:10" x14ac:dyDescent="0.25">
      <c r="J261"/>
    </row>
    <row r="262" spans="10:10" x14ac:dyDescent="0.25">
      <c r="J262"/>
    </row>
    <row r="263" spans="10:10" x14ac:dyDescent="0.25">
      <c r="J263"/>
    </row>
    <row r="264" spans="10:10" x14ac:dyDescent="0.25">
      <c r="J264"/>
    </row>
    <row r="265" spans="10:10" x14ac:dyDescent="0.25">
      <c r="J265"/>
    </row>
    <row r="266" spans="10:10" x14ac:dyDescent="0.25">
      <c r="J266"/>
    </row>
    <row r="267" spans="10:10" x14ac:dyDescent="0.25">
      <c r="J267"/>
    </row>
    <row r="268" spans="10:10" x14ac:dyDescent="0.25">
      <c r="J268"/>
    </row>
    <row r="269" spans="10:10" x14ac:dyDescent="0.25">
      <c r="J269"/>
    </row>
    <row r="270" spans="10:10" x14ac:dyDescent="0.25">
      <c r="J270"/>
    </row>
    <row r="271" spans="10:10" x14ac:dyDescent="0.25">
      <c r="J271"/>
    </row>
    <row r="272" spans="10:10" x14ac:dyDescent="0.25">
      <c r="J272"/>
    </row>
    <row r="273" spans="10:10" x14ac:dyDescent="0.25">
      <c r="J273"/>
    </row>
    <row r="274" spans="10:10" x14ac:dyDescent="0.25">
      <c r="J274"/>
    </row>
    <row r="275" spans="10:10" x14ac:dyDescent="0.25">
      <c r="J275"/>
    </row>
    <row r="276" spans="10:10" x14ac:dyDescent="0.25">
      <c r="J276"/>
    </row>
    <row r="277" spans="10:10" x14ac:dyDescent="0.25">
      <c r="J277"/>
    </row>
    <row r="278" spans="10:10" x14ac:dyDescent="0.25">
      <c r="J278"/>
    </row>
    <row r="279" spans="10:10" x14ac:dyDescent="0.25">
      <c r="J279"/>
    </row>
    <row r="280" spans="10:10" x14ac:dyDescent="0.25">
      <c r="J280"/>
    </row>
    <row r="281" spans="10:10" x14ac:dyDescent="0.25">
      <c r="J281"/>
    </row>
    <row r="282" spans="10:10" x14ac:dyDescent="0.25">
      <c r="J282"/>
    </row>
    <row r="283" spans="10:10" x14ac:dyDescent="0.25">
      <c r="J283"/>
    </row>
    <row r="284" spans="10:10" x14ac:dyDescent="0.25">
      <c r="J284"/>
    </row>
    <row r="285" spans="10:10" x14ac:dyDescent="0.25">
      <c r="J285"/>
    </row>
    <row r="286" spans="10:10" x14ac:dyDescent="0.25">
      <c r="J286"/>
    </row>
    <row r="287" spans="10:10" x14ac:dyDescent="0.25">
      <c r="J287"/>
    </row>
    <row r="288" spans="10:10" x14ac:dyDescent="0.25">
      <c r="J288"/>
    </row>
    <row r="289" spans="10:10" x14ac:dyDescent="0.25">
      <c r="J289"/>
    </row>
    <row r="290" spans="10:10" x14ac:dyDescent="0.25">
      <c r="J290"/>
    </row>
    <row r="291" spans="10:10" x14ac:dyDescent="0.25">
      <c r="J291"/>
    </row>
    <row r="292" spans="10:10" x14ac:dyDescent="0.25">
      <c r="J292"/>
    </row>
    <row r="293" spans="10:10" x14ac:dyDescent="0.25">
      <c r="J293"/>
    </row>
    <row r="294" spans="10:10" x14ac:dyDescent="0.25">
      <c r="J294"/>
    </row>
    <row r="295" spans="10:10" x14ac:dyDescent="0.25">
      <c r="J295"/>
    </row>
    <row r="296" spans="10:10" x14ac:dyDescent="0.25">
      <c r="J296"/>
    </row>
    <row r="297" spans="10:10" x14ac:dyDescent="0.25">
      <c r="J297"/>
    </row>
    <row r="298" spans="10:10" x14ac:dyDescent="0.25">
      <c r="J298"/>
    </row>
    <row r="299" spans="10:10" x14ac:dyDescent="0.25">
      <c r="J299"/>
    </row>
    <row r="300" spans="10:10" x14ac:dyDescent="0.25">
      <c r="J300"/>
    </row>
    <row r="301" spans="10:10" x14ac:dyDescent="0.25">
      <c r="J301"/>
    </row>
    <row r="302" spans="10:10" x14ac:dyDescent="0.25">
      <c r="J302"/>
    </row>
    <row r="303" spans="10:10" x14ac:dyDescent="0.25">
      <c r="J303"/>
    </row>
    <row r="304" spans="10:10" x14ac:dyDescent="0.25">
      <c r="J304"/>
    </row>
    <row r="305" spans="10:10" x14ac:dyDescent="0.25">
      <c r="J305"/>
    </row>
    <row r="306" spans="10:10" x14ac:dyDescent="0.25">
      <c r="J306"/>
    </row>
    <row r="307" spans="10:10" x14ac:dyDescent="0.25">
      <c r="J307"/>
    </row>
    <row r="308" spans="10:10" x14ac:dyDescent="0.25">
      <c r="J308"/>
    </row>
    <row r="309" spans="10:10" x14ac:dyDescent="0.25">
      <c r="J309"/>
    </row>
    <row r="310" spans="10:10" x14ac:dyDescent="0.25">
      <c r="J310"/>
    </row>
    <row r="311" spans="10:10" x14ac:dyDescent="0.25">
      <c r="J311"/>
    </row>
    <row r="312" spans="10:10" x14ac:dyDescent="0.25">
      <c r="J312"/>
    </row>
    <row r="313" spans="10:10" x14ac:dyDescent="0.25">
      <c r="J313"/>
    </row>
    <row r="314" spans="10:10" x14ac:dyDescent="0.25">
      <c r="J314"/>
    </row>
    <row r="315" spans="10:10" x14ac:dyDescent="0.25">
      <c r="J315"/>
    </row>
    <row r="316" spans="10:10" x14ac:dyDescent="0.25">
      <c r="J316"/>
    </row>
    <row r="317" spans="10:10" x14ac:dyDescent="0.25">
      <c r="J317"/>
    </row>
    <row r="318" spans="10:10" x14ac:dyDescent="0.25">
      <c r="J318"/>
    </row>
    <row r="319" spans="10:10" x14ac:dyDescent="0.25">
      <c r="J319"/>
    </row>
    <row r="320" spans="10:10" x14ac:dyDescent="0.25">
      <c r="J320"/>
    </row>
    <row r="321" spans="10:10" x14ac:dyDescent="0.25">
      <c r="J321"/>
    </row>
    <row r="322" spans="10:10" x14ac:dyDescent="0.25">
      <c r="J322"/>
    </row>
    <row r="323" spans="10:10" x14ac:dyDescent="0.25">
      <c r="J323"/>
    </row>
    <row r="324" spans="10:10" x14ac:dyDescent="0.25">
      <c r="J324"/>
    </row>
    <row r="325" spans="10:10" x14ac:dyDescent="0.25">
      <c r="J325"/>
    </row>
    <row r="326" spans="10:10" x14ac:dyDescent="0.25">
      <c r="J326"/>
    </row>
    <row r="327" spans="10:10" x14ac:dyDescent="0.25">
      <c r="J327"/>
    </row>
    <row r="328" spans="10:10" x14ac:dyDescent="0.25">
      <c r="J328"/>
    </row>
    <row r="329" spans="10:10" x14ac:dyDescent="0.25">
      <c r="J329"/>
    </row>
    <row r="330" spans="10:10" x14ac:dyDescent="0.25">
      <c r="J330"/>
    </row>
    <row r="331" spans="10:10" x14ac:dyDescent="0.25">
      <c r="J331"/>
    </row>
    <row r="332" spans="10:10" x14ac:dyDescent="0.25">
      <c r="J332"/>
    </row>
    <row r="333" spans="10:10" x14ac:dyDescent="0.25">
      <c r="J333"/>
    </row>
    <row r="334" spans="10:10" x14ac:dyDescent="0.25">
      <c r="J334"/>
    </row>
    <row r="335" spans="10:10" x14ac:dyDescent="0.25">
      <c r="J335"/>
    </row>
    <row r="336" spans="10:10" x14ac:dyDescent="0.25">
      <c r="J336"/>
    </row>
    <row r="337" spans="10:10" x14ac:dyDescent="0.25">
      <c r="J337"/>
    </row>
    <row r="338" spans="10:10" x14ac:dyDescent="0.25">
      <c r="J338"/>
    </row>
  </sheetData>
  <mergeCells count="12">
    <mergeCell ref="F22:F26"/>
    <mergeCell ref="B10:B14"/>
    <mergeCell ref="B16:B20"/>
    <mergeCell ref="B22:B26"/>
    <mergeCell ref="E10:E14"/>
    <mergeCell ref="E16:E20"/>
    <mergeCell ref="E22:E26"/>
    <mergeCell ref="E2:E8"/>
    <mergeCell ref="F2:F8"/>
    <mergeCell ref="B2:B8"/>
    <mergeCell ref="F10:F14"/>
    <mergeCell ref="F16:F20"/>
  </mergeCells>
  <phoneticPr fontId="2" type="noConversion"/>
  <hyperlinks>
    <hyperlink ref="D1" location="'CU Plane Coupling - Use_cases'!A1" display="Use cases " xr:uid="{E01D4763-0A00-4E5F-B562-C2E6886773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95393-FF66-4C6B-95DB-E39A1717A76E}">
  <dimension ref="A1:AZ26"/>
  <sheetViews>
    <sheetView tabSelected="1" zoomScale="70" zoomScaleNormal="70" workbookViewId="0">
      <selection activeCell="C25" sqref="C25"/>
    </sheetView>
  </sheetViews>
  <sheetFormatPr defaultRowHeight="15.75" x14ac:dyDescent="0.25"/>
  <cols>
    <col min="1" max="1" width="8.7109375" customWidth="1"/>
    <col min="2" max="2" width="42.140625" customWidth="1"/>
    <col min="3" max="3" width="116.85546875" style="159" customWidth="1"/>
    <col min="4" max="4" width="18.85546875" customWidth="1"/>
    <col min="5" max="5" width="23.7109375" customWidth="1"/>
    <col min="6" max="6" width="28.28515625" customWidth="1"/>
    <col min="7" max="7" width="58.85546875" customWidth="1"/>
    <col min="8" max="8" width="67" customWidth="1"/>
    <col min="9" max="9" width="66.7109375" style="2" customWidth="1"/>
    <col min="10" max="10" width="15.7109375" customWidth="1"/>
  </cols>
  <sheetData>
    <row r="1" spans="1:52" ht="54.95" customHeight="1" x14ac:dyDescent="0.25">
      <c r="A1" s="334" t="s">
        <v>237</v>
      </c>
      <c r="B1" s="334"/>
      <c r="C1" s="334"/>
      <c r="D1" s="334"/>
      <c r="E1" s="334"/>
      <c r="F1" s="334"/>
      <c r="G1" s="334"/>
      <c r="H1" s="334"/>
      <c r="I1" s="334"/>
      <c r="J1" s="334"/>
    </row>
    <row r="2" spans="1:52" ht="35.1" customHeight="1" x14ac:dyDescent="0.25">
      <c r="A2" s="267" t="s">
        <v>116</v>
      </c>
      <c r="B2" s="268" t="s">
        <v>17</v>
      </c>
      <c r="C2" s="158" t="s">
        <v>2</v>
      </c>
      <c r="D2" s="267" t="s">
        <v>18</v>
      </c>
      <c r="E2" s="267" t="s">
        <v>19</v>
      </c>
      <c r="F2" s="267" t="s">
        <v>53</v>
      </c>
      <c r="G2" s="269" t="s">
        <v>154</v>
      </c>
      <c r="H2" s="270" t="s">
        <v>155</v>
      </c>
      <c r="I2" s="271" t="s">
        <v>156</v>
      </c>
    </row>
    <row r="3" spans="1:52" ht="102.6" hidden="1" customHeight="1" x14ac:dyDescent="0.25">
      <c r="A3" s="28">
        <v>1</v>
      </c>
      <c r="B3" s="266" t="s">
        <v>183</v>
      </c>
      <c r="C3" s="125" t="s">
        <v>238</v>
      </c>
      <c r="D3" s="304" t="s">
        <v>239</v>
      </c>
      <c r="E3" s="301" t="s">
        <v>240</v>
      </c>
      <c r="F3" s="29" t="s">
        <v>185</v>
      </c>
      <c r="G3" s="122" t="s">
        <v>186</v>
      </c>
      <c r="H3" s="28" t="s">
        <v>241</v>
      </c>
      <c r="I3" s="34" t="s">
        <v>6</v>
      </c>
    </row>
    <row r="4" spans="1:52" ht="60" customHeight="1" x14ac:dyDescent="0.25">
      <c r="A4" s="252">
        <v>1</v>
      </c>
      <c r="B4" s="197" t="s">
        <v>242</v>
      </c>
      <c r="C4" s="253" t="s">
        <v>243</v>
      </c>
      <c r="D4" s="302"/>
      <c r="E4" s="307"/>
      <c r="F4" s="254"/>
      <c r="G4" s="255" t="s">
        <v>244</v>
      </c>
      <c r="H4" s="252" t="s">
        <v>245</v>
      </c>
      <c r="I4" s="126" t="s">
        <v>6</v>
      </c>
    </row>
    <row r="5" spans="1:52" ht="102.6" customHeight="1" x14ac:dyDescent="0.25">
      <c r="A5" s="248">
        <v>2</v>
      </c>
      <c r="B5" s="197" t="s">
        <v>183</v>
      </c>
      <c r="C5" s="250" t="s">
        <v>1245</v>
      </c>
      <c r="D5" s="302"/>
      <c r="E5" s="307"/>
      <c r="F5" s="29" t="s">
        <v>198</v>
      </c>
      <c r="G5" s="122" t="s">
        <v>199</v>
      </c>
      <c r="H5" s="28" t="s">
        <v>246</v>
      </c>
      <c r="I5" s="34" t="s">
        <v>6</v>
      </c>
    </row>
    <row r="6" spans="1:52" ht="100.5" hidden="1" customHeight="1" x14ac:dyDescent="0.25">
      <c r="A6" s="28">
        <v>3</v>
      </c>
      <c r="B6" s="333" t="s">
        <v>157</v>
      </c>
      <c r="C6" s="125" t="s">
        <v>247</v>
      </c>
      <c r="D6" s="302"/>
      <c r="E6" s="307"/>
      <c r="F6" s="29" t="s">
        <v>248</v>
      </c>
      <c r="G6" s="122" t="s">
        <v>163</v>
      </c>
      <c r="H6" s="28" t="s">
        <v>249</v>
      </c>
      <c r="I6" s="34" t="s">
        <v>6</v>
      </c>
    </row>
    <row r="7" spans="1:52" ht="100.5" customHeight="1" x14ac:dyDescent="0.25">
      <c r="A7" s="28">
        <v>3</v>
      </c>
      <c r="B7" s="333"/>
      <c r="C7" s="125" t="s">
        <v>1246</v>
      </c>
      <c r="D7" s="302"/>
      <c r="E7" s="307"/>
      <c r="F7" s="29" t="s">
        <v>250</v>
      </c>
      <c r="G7" s="122" t="s">
        <v>176</v>
      </c>
      <c r="H7" s="28" t="s">
        <v>249</v>
      </c>
      <c r="I7" s="34" t="s">
        <v>6</v>
      </c>
    </row>
    <row r="8" spans="1:52" ht="105.75" customHeight="1" x14ac:dyDescent="0.25">
      <c r="A8" s="28">
        <v>4</v>
      </c>
      <c r="B8" s="132" t="s">
        <v>251</v>
      </c>
      <c r="C8" s="125" t="s">
        <v>252</v>
      </c>
      <c r="D8" s="302"/>
      <c r="E8" s="307"/>
      <c r="F8" s="29" t="s">
        <v>253</v>
      </c>
      <c r="G8" s="122" t="s">
        <v>254</v>
      </c>
      <c r="H8" s="28" t="s">
        <v>255</v>
      </c>
      <c r="I8" s="34" t="s">
        <v>6</v>
      </c>
    </row>
    <row r="9" spans="1:52" ht="99.95" customHeight="1" x14ac:dyDescent="0.25">
      <c r="A9" s="28">
        <v>5</v>
      </c>
      <c r="B9" s="197" t="s">
        <v>256</v>
      </c>
      <c r="C9" s="125" t="s">
        <v>257</v>
      </c>
      <c r="D9" s="303"/>
      <c r="E9" s="308"/>
      <c r="F9" s="29" t="s">
        <v>258</v>
      </c>
      <c r="G9" s="122" t="s">
        <v>259</v>
      </c>
      <c r="H9" s="28" t="s">
        <v>260</v>
      </c>
      <c r="I9" s="34" t="s">
        <v>6</v>
      </c>
    </row>
    <row r="10" spans="1:52" ht="85.35" customHeight="1" x14ac:dyDescent="0.25">
      <c r="A10" s="28">
        <v>6</v>
      </c>
      <c r="B10" s="197" t="s">
        <v>261</v>
      </c>
      <c r="C10" s="125" t="s">
        <v>262</v>
      </c>
      <c r="D10" s="256"/>
      <c r="E10" s="257"/>
      <c r="F10" s="122"/>
      <c r="G10" s="122" t="s">
        <v>263</v>
      </c>
      <c r="H10" s="28"/>
      <c r="I10" s="34" t="s">
        <v>6</v>
      </c>
    </row>
    <row r="11" spans="1:52" ht="89.45" customHeight="1" x14ac:dyDescent="0.25">
      <c r="A11" s="28">
        <v>7</v>
      </c>
      <c r="B11" s="197" t="s">
        <v>264</v>
      </c>
      <c r="C11" s="125" t="s">
        <v>265</v>
      </c>
      <c r="D11" s="256"/>
      <c r="E11" s="257"/>
      <c r="F11" s="122"/>
      <c r="G11" s="122" t="s">
        <v>266</v>
      </c>
      <c r="H11" s="28"/>
      <c r="I11" s="34" t="s">
        <v>6</v>
      </c>
    </row>
    <row r="12" spans="1:52" ht="138.75" customHeight="1" x14ac:dyDescent="0.25">
      <c r="A12" s="258">
        <v>8</v>
      </c>
      <c r="B12" s="197" t="s">
        <v>267</v>
      </c>
      <c r="C12" s="251" t="s">
        <v>268</v>
      </c>
      <c r="D12" s="256"/>
      <c r="E12" s="256"/>
      <c r="F12" s="259" t="s">
        <v>185</v>
      </c>
      <c r="G12" s="122" t="s">
        <v>269</v>
      </c>
      <c r="H12" s="258" t="s">
        <v>241</v>
      </c>
      <c r="I12" s="34" t="s">
        <v>6</v>
      </c>
    </row>
    <row r="13" spans="1:52" s="1" customFormat="1" ht="99.95" customHeight="1" x14ac:dyDescent="0.25">
      <c r="A13" s="335" t="s">
        <v>270</v>
      </c>
      <c r="B13" s="335"/>
      <c r="C13" s="335"/>
      <c r="D13" s="335"/>
      <c r="E13" s="335"/>
      <c r="F13" s="335"/>
      <c r="G13" s="335"/>
      <c r="H13" s="335"/>
      <c r="I13" s="335"/>
      <c r="J13" s="335"/>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row>
    <row r="14" spans="1:52" s="1" customFormat="1" ht="99.95" customHeight="1" x14ac:dyDescent="0.25">
      <c r="A14" s="28">
        <v>1</v>
      </c>
      <c r="B14" s="333" t="s">
        <v>183</v>
      </c>
      <c r="C14" s="125" t="s">
        <v>271</v>
      </c>
      <c r="D14" s="304" t="s">
        <v>239</v>
      </c>
      <c r="E14" s="301" t="s">
        <v>240</v>
      </c>
      <c r="F14" s="29" t="s">
        <v>185</v>
      </c>
      <c r="G14" s="122" t="s">
        <v>186</v>
      </c>
      <c r="H14" s="248" t="s">
        <v>241</v>
      </c>
      <c r="I14" s="34" t="s">
        <v>6</v>
      </c>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row>
    <row r="15" spans="1:52" ht="99.95" hidden="1" customHeight="1" x14ac:dyDescent="0.25">
      <c r="A15" s="28">
        <v>2</v>
      </c>
      <c r="B15" s="333"/>
      <c r="C15" s="125" t="s">
        <v>272</v>
      </c>
      <c r="D15" s="304"/>
      <c r="E15" s="301"/>
      <c r="F15" s="90" t="s">
        <v>273</v>
      </c>
      <c r="G15" s="260" t="s">
        <v>196</v>
      </c>
      <c r="H15" s="261" t="s">
        <v>274</v>
      </c>
      <c r="I15" s="126" t="s">
        <v>6</v>
      </c>
    </row>
    <row r="16" spans="1:52" ht="99.95" customHeight="1" x14ac:dyDescent="0.25">
      <c r="A16" s="28">
        <v>2</v>
      </c>
      <c r="B16" s="333" t="s">
        <v>275</v>
      </c>
      <c r="C16" s="125" t="s">
        <v>1247</v>
      </c>
      <c r="D16" s="304"/>
      <c r="E16" s="301"/>
      <c r="F16" s="90" t="s">
        <v>248</v>
      </c>
      <c r="G16" s="260" t="s">
        <v>163</v>
      </c>
      <c r="H16" s="261" t="s">
        <v>249</v>
      </c>
      <c r="I16" s="126" t="s">
        <v>6</v>
      </c>
    </row>
    <row r="17" spans="1:9" ht="99.95" hidden="1" customHeight="1" x14ac:dyDescent="0.25">
      <c r="A17" s="28">
        <v>4</v>
      </c>
      <c r="B17" s="333"/>
      <c r="C17" s="125" t="s">
        <v>276</v>
      </c>
      <c r="D17" s="304"/>
      <c r="E17" s="301"/>
      <c r="F17" s="90" t="s">
        <v>277</v>
      </c>
      <c r="G17" s="260" t="s">
        <v>173</v>
      </c>
      <c r="H17" s="261" t="s">
        <v>278</v>
      </c>
      <c r="I17" s="126" t="s">
        <v>6</v>
      </c>
    </row>
    <row r="18" spans="1:9" ht="99.95" customHeight="1" x14ac:dyDescent="0.25">
      <c r="A18" s="28">
        <v>3</v>
      </c>
      <c r="B18" s="333" t="s">
        <v>279</v>
      </c>
      <c r="C18" s="125" t="s">
        <v>280</v>
      </c>
      <c r="D18" s="304"/>
      <c r="E18" s="301"/>
      <c r="F18" s="90" t="s">
        <v>185</v>
      </c>
      <c r="G18" s="260" t="s">
        <v>281</v>
      </c>
      <c r="H18" s="28" t="s">
        <v>241</v>
      </c>
      <c r="I18" s="126" t="s">
        <v>6</v>
      </c>
    </row>
    <row r="19" spans="1:9" ht="99.95" customHeight="1" x14ac:dyDescent="0.25">
      <c r="A19" s="28">
        <v>4</v>
      </c>
      <c r="B19" s="333"/>
      <c r="C19" s="125" t="s">
        <v>282</v>
      </c>
      <c r="D19" s="304"/>
      <c r="E19" s="301"/>
      <c r="F19" s="90" t="s">
        <v>283</v>
      </c>
      <c r="G19" s="260" t="s">
        <v>284</v>
      </c>
      <c r="H19" s="115" t="s">
        <v>249</v>
      </c>
      <c r="I19" s="126" t="s">
        <v>6</v>
      </c>
    </row>
    <row r="20" spans="1:9" ht="90" x14ac:dyDescent="0.25">
      <c r="A20" s="28">
        <v>5</v>
      </c>
      <c r="B20" s="197" t="s">
        <v>256</v>
      </c>
      <c r="C20" s="262" t="s">
        <v>285</v>
      </c>
      <c r="D20" s="304"/>
      <c r="E20" s="301"/>
      <c r="F20" s="249" t="s">
        <v>286</v>
      </c>
      <c r="G20" s="122" t="s">
        <v>287</v>
      </c>
      <c r="H20" s="28" t="s">
        <v>288</v>
      </c>
      <c r="I20" s="126" t="s">
        <v>6</v>
      </c>
    </row>
    <row r="21" spans="1:9" ht="140.1" customHeight="1" x14ac:dyDescent="0.25">
      <c r="A21" s="115">
        <v>6</v>
      </c>
      <c r="B21" s="333" t="s">
        <v>15</v>
      </c>
      <c r="C21" s="125" t="s">
        <v>289</v>
      </c>
      <c r="D21" s="122"/>
      <c r="E21" s="122"/>
      <c r="F21" s="249" t="s">
        <v>290</v>
      </c>
      <c r="G21" s="122" t="s">
        <v>291</v>
      </c>
      <c r="H21" s="28" t="s">
        <v>292</v>
      </c>
      <c r="I21" s="126" t="s">
        <v>6</v>
      </c>
    </row>
    <row r="22" spans="1:9" ht="144.75" customHeight="1" x14ac:dyDescent="0.25">
      <c r="A22" s="28">
        <v>7</v>
      </c>
      <c r="B22" s="333"/>
      <c r="C22" s="125" t="s">
        <v>293</v>
      </c>
      <c r="D22" s="122"/>
      <c r="E22" s="122"/>
      <c r="F22" s="249" t="s">
        <v>294</v>
      </c>
      <c r="G22" s="122" t="s">
        <v>295</v>
      </c>
      <c r="H22" s="248" t="s">
        <v>296</v>
      </c>
      <c r="I22" s="34" t="s">
        <v>6</v>
      </c>
    </row>
    <row r="23" spans="1:9" ht="106.5" customHeight="1" x14ac:dyDescent="0.25">
      <c r="A23" s="115">
        <v>8</v>
      </c>
      <c r="B23" s="246" t="s">
        <v>297</v>
      </c>
      <c r="C23" s="128" t="s">
        <v>298</v>
      </c>
      <c r="D23" s="260"/>
      <c r="E23" s="260"/>
      <c r="F23" s="249" t="s">
        <v>286</v>
      </c>
      <c r="G23" s="260" t="s">
        <v>299</v>
      </c>
      <c r="H23" s="115" t="s">
        <v>300</v>
      </c>
      <c r="I23" s="126" t="s">
        <v>6</v>
      </c>
    </row>
    <row r="24" spans="1:9" ht="69.95" customHeight="1" x14ac:dyDescent="0.25">
      <c r="A24" s="115">
        <v>9</v>
      </c>
      <c r="B24" s="197" t="s">
        <v>301</v>
      </c>
      <c r="C24" s="125" t="s">
        <v>1248</v>
      </c>
      <c r="D24" s="1"/>
      <c r="E24" s="1"/>
      <c r="F24" s="1"/>
      <c r="G24" s="122" t="s">
        <v>302</v>
      </c>
      <c r="H24" s="28" t="s">
        <v>303</v>
      </c>
      <c r="I24" s="126" t="s">
        <v>6</v>
      </c>
    </row>
    <row r="25" spans="1:9" ht="50.1" customHeight="1" x14ac:dyDescent="0.25">
      <c r="A25" s="115">
        <v>10</v>
      </c>
      <c r="B25" s="221" t="s">
        <v>304</v>
      </c>
      <c r="C25" s="128" t="s">
        <v>305</v>
      </c>
      <c r="D25" s="12"/>
      <c r="E25" s="12"/>
      <c r="F25" s="12"/>
      <c r="G25" s="260" t="s">
        <v>306</v>
      </c>
      <c r="H25" s="115" t="s">
        <v>307</v>
      </c>
      <c r="I25" s="126" t="s">
        <v>6</v>
      </c>
    </row>
    <row r="26" spans="1:9" ht="106.5" customHeight="1" x14ac:dyDescent="0.25">
      <c r="A26" s="252">
        <v>11</v>
      </c>
      <c r="B26" s="263" t="s">
        <v>308</v>
      </c>
      <c r="C26" s="264" t="s">
        <v>309</v>
      </c>
      <c r="D26" s="254"/>
      <c r="E26" s="254"/>
      <c r="F26" s="254"/>
      <c r="G26" s="265" t="s">
        <v>310</v>
      </c>
      <c r="H26" s="252" t="s">
        <v>311</v>
      </c>
      <c r="I26" s="34" t="s">
        <v>6</v>
      </c>
    </row>
  </sheetData>
  <mergeCells count="11">
    <mergeCell ref="B21:B22"/>
    <mergeCell ref="E14:E20"/>
    <mergeCell ref="B14:B15"/>
    <mergeCell ref="B16:B17"/>
    <mergeCell ref="A1:J1"/>
    <mergeCell ref="A13:J13"/>
    <mergeCell ref="D3:D9"/>
    <mergeCell ref="E3:E9"/>
    <mergeCell ref="D14:D20"/>
    <mergeCell ref="B18:B19"/>
    <mergeCell ref="B6:B7"/>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C2AE-F37B-44A6-BD5D-1F99990E638A}">
  <dimension ref="A1:I10"/>
  <sheetViews>
    <sheetView zoomScale="85" zoomScaleNormal="85" workbookViewId="0">
      <selection activeCell="G3" sqref="G3"/>
    </sheetView>
  </sheetViews>
  <sheetFormatPr defaultRowHeight="15" x14ac:dyDescent="0.25"/>
  <cols>
    <col min="1" max="1" width="10.140625" style="2" customWidth="1"/>
    <col min="2" max="2" width="35.28515625" style="2" customWidth="1"/>
    <col min="3" max="3" width="128.28515625" customWidth="1"/>
    <col min="4" max="4" width="12.85546875" customWidth="1"/>
    <col min="5" max="5" width="12.7109375" customWidth="1"/>
    <col min="6" max="6" width="12.28515625" customWidth="1"/>
    <col min="7" max="7" width="41.28515625" customWidth="1"/>
    <col min="8" max="8" width="50.7109375" customWidth="1"/>
    <col min="9" max="9" width="11.5703125" customWidth="1"/>
  </cols>
  <sheetData>
    <row r="1" spans="1:9" s="272" customFormat="1" ht="36" customHeight="1" x14ac:dyDescent="0.25">
      <c r="A1" s="267" t="s">
        <v>116</v>
      </c>
      <c r="B1" s="267" t="s">
        <v>17</v>
      </c>
      <c r="C1" s="267" t="s">
        <v>2</v>
      </c>
      <c r="D1" s="267" t="s">
        <v>18</v>
      </c>
      <c r="E1" s="267" t="s">
        <v>19</v>
      </c>
      <c r="F1" s="267" t="s">
        <v>53</v>
      </c>
      <c r="G1" s="269" t="s">
        <v>154</v>
      </c>
      <c r="H1" s="271" t="s">
        <v>155</v>
      </c>
      <c r="I1" s="271" t="s">
        <v>156</v>
      </c>
    </row>
    <row r="2" spans="1:9" ht="60.75" hidden="1" customHeight="1" x14ac:dyDescent="0.25">
      <c r="A2" s="28">
        <v>1</v>
      </c>
      <c r="B2" s="336" t="s">
        <v>312</v>
      </c>
      <c r="C2" s="125" t="s">
        <v>313</v>
      </c>
      <c r="D2" s="1"/>
      <c r="E2" s="1"/>
      <c r="F2" s="1"/>
      <c r="G2" s="122" t="s">
        <v>314</v>
      </c>
      <c r="H2" s="28" t="s">
        <v>241</v>
      </c>
      <c r="I2" s="34" t="s">
        <v>6</v>
      </c>
    </row>
    <row r="3" spans="1:9" ht="50.1" customHeight="1" x14ac:dyDescent="0.25">
      <c r="A3" s="28">
        <v>1</v>
      </c>
      <c r="B3" s="337"/>
      <c r="C3" s="125" t="s">
        <v>315</v>
      </c>
      <c r="D3" s="1"/>
      <c r="E3" s="1"/>
      <c r="F3" s="1"/>
      <c r="G3" s="122" t="s">
        <v>316</v>
      </c>
      <c r="H3" s="28" t="s">
        <v>317</v>
      </c>
      <c r="I3" s="34" t="s">
        <v>6</v>
      </c>
    </row>
    <row r="4" spans="1:9" ht="50.1" hidden="1" customHeight="1" x14ac:dyDescent="0.25">
      <c r="A4" s="28">
        <v>3</v>
      </c>
      <c r="B4" s="197" t="s">
        <v>318</v>
      </c>
      <c r="C4" s="125" t="s">
        <v>319</v>
      </c>
      <c r="D4" s="1"/>
      <c r="E4" s="1"/>
      <c r="F4" s="1"/>
      <c r="G4" s="122" t="s">
        <v>320</v>
      </c>
      <c r="H4" s="28" t="s">
        <v>321</v>
      </c>
      <c r="I4" s="34" t="s">
        <v>6</v>
      </c>
    </row>
    <row r="5" spans="1:9" ht="30" hidden="1" customHeight="1" x14ac:dyDescent="0.25">
      <c r="A5" s="28">
        <v>3</v>
      </c>
      <c r="B5" s="197" t="s">
        <v>318</v>
      </c>
      <c r="C5" s="122" t="s">
        <v>322</v>
      </c>
      <c r="D5" s="1"/>
      <c r="E5" s="1"/>
      <c r="F5" s="1"/>
      <c r="G5" s="122" t="s">
        <v>320</v>
      </c>
      <c r="H5" s="28" t="s">
        <v>323</v>
      </c>
      <c r="I5" s="34" t="s">
        <v>6</v>
      </c>
    </row>
    <row r="6" spans="1:9" ht="50.1" customHeight="1" x14ac:dyDescent="0.25">
      <c r="A6" s="28">
        <v>2</v>
      </c>
      <c r="B6" s="246" t="s">
        <v>324</v>
      </c>
      <c r="C6" s="125" t="s">
        <v>325</v>
      </c>
      <c r="D6" s="1"/>
      <c r="E6" s="1"/>
      <c r="F6" s="1"/>
      <c r="G6" s="122" t="s">
        <v>326</v>
      </c>
      <c r="H6" s="28" t="s">
        <v>327</v>
      </c>
      <c r="I6" s="34" t="s">
        <v>6</v>
      </c>
    </row>
    <row r="7" spans="1:9" ht="50.1" customHeight="1" x14ac:dyDescent="0.25">
      <c r="A7" s="28">
        <v>3</v>
      </c>
      <c r="B7" s="197" t="s">
        <v>328</v>
      </c>
      <c r="C7" s="125" t="s">
        <v>329</v>
      </c>
      <c r="D7" s="1"/>
      <c r="E7" s="1"/>
      <c r="F7" s="1"/>
      <c r="G7" s="122" t="s">
        <v>330</v>
      </c>
      <c r="H7" s="28" t="s">
        <v>331</v>
      </c>
      <c r="I7" s="34" t="s">
        <v>6</v>
      </c>
    </row>
    <row r="8" spans="1:9" ht="50.1" hidden="1" customHeight="1" x14ac:dyDescent="0.25">
      <c r="A8" s="28">
        <v>6</v>
      </c>
      <c r="B8" s="197" t="s">
        <v>332</v>
      </c>
      <c r="C8" s="125" t="s">
        <v>333</v>
      </c>
      <c r="D8" s="1"/>
      <c r="E8" s="1"/>
      <c r="F8" s="1"/>
      <c r="G8" s="122" t="s">
        <v>334</v>
      </c>
      <c r="H8" s="28" t="s">
        <v>335</v>
      </c>
      <c r="I8" s="34" t="s">
        <v>6</v>
      </c>
    </row>
    <row r="9" spans="1:9" ht="50.1" customHeight="1" x14ac:dyDescent="0.25">
      <c r="A9" s="28">
        <v>4</v>
      </c>
      <c r="B9" s="197" t="s">
        <v>336</v>
      </c>
      <c r="C9" s="125" t="s">
        <v>337</v>
      </c>
      <c r="D9" s="1"/>
      <c r="E9" s="1"/>
      <c r="F9" s="1"/>
      <c r="G9" s="122" t="s">
        <v>338</v>
      </c>
      <c r="H9" s="28" t="s">
        <v>339</v>
      </c>
      <c r="I9" s="34" t="s">
        <v>6</v>
      </c>
    </row>
    <row r="10" spans="1:9" ht="50.1" customHeight="1" x14ac:dyDescent="0.25">
      <c r="A10" s="28">
        <v>5</v>
      </c>
      <c r="B10" s="197" t="s">
        <v>340</v>
      </c>
      <c r="C10" s="125" t="s">
        <v>341</v>
      </c>
      <c r="D10" s="1"/>
      <c r="E10" s="1"/>
      <c r="F10" s="1"/>
      <c r="G10" s="122" t="s">
        <v>342</v>
      </c>
      <c r="H10" s="28" t="s">
        <v>343</v>
      </c>
      <c r="I10" s="34" t="s">
        <v>6</v>
      </c>
    </row>
  </sheetData>
  <mergeCells count="1">
    <mergeCell ref="B2:B3"/>
  </mergeCells>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6FF7-2883-4E74-A433-3D79520E22AB}">
  <dimension ref="A3:K12"/>
  <sheetViews>
    <sheetView workbookViewId="0">
      <selection activeCell="H5" sqref="H5"/>
    </sheetView>
  </sheetViews>
  <sheetFormatPr defaultRowHeight="15" x14ac:dyDescent="0.25"/>
  <cols>
    <col min="1" max="2" width="20.5703125" customWidth="1"/>
    <col min="3" max="3" width="28.5703125" customWidth="1"/>
    <col min="4" max="4" width="12.42578125" customWidth="1"/>
    <col min="5" max="6" width="16.5703125" customWidth="1"/>
    <col min="7" max="7" width="19.42578125" customWidth="1"/>
    <col min="8" max="8" width="46" customWidth="1"/>
    <col min="9" max="9" width="28.42578125" customWidth="1"/>
    <col min="10" max="10" width="45.140625" customWidth="1"/>
    <col min="11" max="11" width="78.140625" customWidth="1"/>
  </cols>
  <sheetData>
    <row r="3" spans="1:11" s="86" customFormat="1" x14ac:dyDescent="0.25">
      <c r="A3" s="82"/>
      <c r="B3" s="83"/>
      <c r="C3" s="84"/>
      <c r="D3" s="85"/>
      <c r="E3" s="338" t="s">
        <v>344</v>
      </c>
      <c r="F3" s="339"/>
      <c r="G3" s="339"/>
      <c r="H3" s="85"/>
      <c r="I3" s="85"/>
      <c r="J3" s="85"/>
      <c r="K3" s="85"/>
    </row>
    <row r="4" spans="1:11" x14ac:dyDescent="0.25">
      <c r="A4" s="65" t="s">
        <v>116</v>
      </c>
      <c r="B4" s="65" t="s">
        <v>345</v>
      </c>
      <c r="C4" s="65" t="s">
        <v>346</v>
      </c>
      <c r="D4" s="65" t="s">
        <v>347</v>
      </c>
      <c r="E4" s="65" t="s">
        <v>348</v>
      </c>
      <c r="F4" s="65" t="s">
        <v>349</v>
      </c>
      <c r="G4" s="65" t="s">
        <v>350</v>
      </c>
      <c r="H4" s="66" t="s">
        <v>351</v>
      </c>
      <c r="I4" s="66"/>
      <c r="J4" s="65" t="s">
        <v>352</v>
      </c>
    </row>
    <row r="5" spans="1:11" x14ac:dyDescent="0.25">
      <c r="A5" s="62">
        <v>1</v>
      </c>
      <c r="B5" s="63">
        <v>45106</v>
      </c>
      <c r="C5" s="62" t="s">
        <v>353</v>
      </c>
      <c r="D5" s="62"/>
      <c r="E5" s="63" t="s">
        <v>348</v>
      </c>
      <c r="F5" s="63" t="s">
        <v>349</v>
      </c>
      <c r="G5" s="62" t="s">
        <v>354</v>
      </c>
      <c r="H5" s="64" t="s">
        <v>355</v>
      </c>
      <c r="I5" s="69"/>
      <c r="J5" s="64" t="s">
        <v>356</v>
      </c>
    </row>
    <row r="6" spans="1:11" x14ac:dyDescent="0.25">
      <c r="A6" s="62"/>
      <c r="B6" s="63"/>
      <c r="C6" s="62"/>
      <c r="D6" s="62"/>
      <c r="E6" s="62"/>
      <c r="F6" s="62"/>
      <c r="G6" s="62"/>
      <c r="H6" s="69"/>
      <c r="I6" s="69"/>
      <c r="J6" s="69"/>
      <c r="K6" s="68"/>
    </row>
    <row r="7" spans="1:11" x14ac:dyDescent="0.25">
      <c r="A7" s="62"/>
      <c r="B7" s="63"/>
      <c r="C7" s="62"/>
      <c r="D7" s="62"/>
      <c r="E7" s="63"/>
      <c r="F7" s="80"/>
      <c r="G7" s="67"/>
      <c r="H7" s="64"/>
      <c r="I7" s="64"/>
      <c r="J7" s="79"/>
      <c r="K7" s="70"/>
    </row>
    <row r="8" spans="1:11" x14ac:dyDescent="0.25">
      <c r="A8" s="62"/>
      <c r="B8" s="71"/>
      <c r="C8" s="72"/>
      <c r="D8" s="72"/>
      <c r="E8" s="71"/>
      <c r="F8" s="81"/>
      <c r="G8" s="69"/>
      <c r="H8" s="73"/>
      <c r="I8" s="73"/>
      <c r="J8" s="74"/>
      <c r="K8" s="74"/>
    </row>
    <row r="9" spans="1:11" x14ac:dyDescent="0.25">
      <c r="A9" s="62"/>
      <c r="B9" s="63"/>
      <c r="C9" s="62"/>
      <c r="D9" s="62"/>
      <c r="E9" s="63"/>
      <c r="F9" s="63"/>
      <c r="G9" s="62"/>
      <c r="H9" s="75"/>
      <c r="I9" s="75"/>
      <c r="J9" s="75"/>
      <c r="K9" s="64"/>
    </row>
    <row r="10" spans="1:11" x14ac:dyDescent="0.25">
      <c r="A10" s="76"/>
      <c r="B10" s="77"/>
      <c r="C10" s="76"/>
      <c r="D10" s="76"/>
      <c r="E10" s="77"/>
      <c r="F10" s="77"/>
      <c r="G10" s="76"/>
      <c r="H10" s="78"/>
      <c r="I10" s="78"/>
      <c r="J10" s="78"/>
      <c r="K10" s="78"/>
    </row>
    <row r="11" spans="1:11" x14ac:dyDescent="0.25">
      <c r="A11" s="62"/>
      <c r="B11" s="63"/>
      <c r="C11" s="62"/>
      <c r="D11" s="62"/>
      <c r="E11" s="63"/>
      <c r="F11" s="63"/>
      <c r="G11" s="62"/>
      <c r="H11" s="64"/>
      <c r="I11" s="64"/>
      <c r="J11" s="64"/>
      <c r="K11" s="64"/>
    </row>
    <row r="12" spans="1:11" x14ac:dyDescent="0.25">
      <c r="A12" s="76"/>
      <c r="B12" s="77"/>
      <c r="C12" s="76"/>
      <c r="D12" s="76"/>
      <c r="E12" s="77"/>
      <c r="F12" s="77"/>
      <c r="G12" s="76"/>
      <c r="H12" s="78"/>
      <c r="I12" s="76"/>
      <c r="J12" s="76"/>
      <c r="K12" s="76"/>
    </row>
  </sheetData>
  <mergeCells count="1">
    <mergeCell ref="E3:G3"/>
  </mergeCells>
  <hyperlinks>
    <hyperlink ref="J5" r:id="rId1" xr:uid="{D074B0C1-FD45-4B43-99D0-527233715FED}"/>
    <hyperlink ref="H5" r:id="rId2" display="https://dev.azure.com/bigcatwireless/IN-SailRiver-Phase2/_git/IN-SailRiver-FPGA_UT/commit/7d55ade8afd75aaaec31ec9e45926c8a76caacbb?refName=refs/heads/master" xr:uid="{FB49F819-1A93-45D6-8EE1-0812ED9B05E6}"/>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80F4-717C-4280-B9A8-C857B940885B}">
  <dimension ref="A1:H18"/>
  <sheetViews>
    <sheetView zoomScaleNormal="100" workbookViewId="0">
      <selection activeCell="C12" sqref="C12"/>
    </sheetView>
  </sheetViews>
  <sheetFormatPr defaultRowHeight="15" x14ac:dyDescent="0.25"/>
  <cols>
    <col min="1" max="1" width="9.5703125" customWidth="1"/>
    <col min="2" max="2" width="31.42578125" customWidth="1"/>
    <col min="3" max="3" width="99.28515625" style="136" customWidth="1"/>
    <col min="4" max="4" width="49.42578125" style="135" customWidth="1"/>
    <col min="5" max="5" width="52.7109375" style="2" bestFit="1" customWidth="1"/>
    <col min="6" max="6" width="16" customWidth="1"/>
  </cols>
  <sheetData>
    <row r="1" spans="1:8" s="272" customFormat="1" ht="30" customHeight="1" x14ac:dyDescent="0.25">
      <c r="A1" s="267" t="s">
        <v>116</v>
      </c>
      <c r="B1" s="268" t="s">
        <v>17</v>
      </c>
      <c r="C1" s="158" t="s">
        <v>2</v>
      </c>
      <c r="D1" s="273" t="s">
        <v>154</v>
      </c>
      <c r="E1" s="271" t="s">
        <v>155</v>
      </c>
      <c r="F1" s="271" t="s">
        <v>156</v>
      </c>
    </row>
    <row r="2" spans="1:8" ht="39.950000000000003" hidden="1" customHeight="1" x14ac:dyDescent="0.25">
      <c r="A2" s="28">
        <v>1</v>
      </c>
      <c r="B2" s="340" t="s">
        <v>234</v>
      </c>
      <c r="C2" s="125" t="s">
        <v>357</v>
      </c>
      <c r="D2" s="134" t="s">
        <v>236</v>
      </c>
      <c r="E2" s="28" t="s">
        <v>358</v>
      </c>
      <c r="F2" s="123"/>
    </row>
    <row r="3" spans="1:8" ht="39.950000000000003" hidden="1" customHeight="1" x14ac:dyDescent="0.25">
      <c r="A3" s="115">
        <v>1</v>
      </c>
      <c r="B3" s="341"/>
      <c r="C3" s="128" t="s">
        <v>359</v>
      </c>
      <c r="D3" s="122" t="s">
        <v>360</v>
      </c>
      <c r="E3" s="115"/>
      <c r="F3" s="126" t="s">
        <v>6</v>
      </c>
    </row>
    <row r="4" spans="1:8" ht="39.950000000000003" hidden="1" customHeight="1" x14ac:dyDescent="0.25">
      <c r="A4" s="115">
        <v>2</v>
      </c>
      <c r="B4" s="340"/>
      <c r="C4" s="128" t="s">
        <v>361</v>
      </c>
      <c r="D4" s="122" t="s">
        <v>362</v>
      </c>
      <c r="E4" s="115"/>
      <c r="F4" s="126" t="s">
        <v>6</v>
      </c>
    </row>
    <row r="5" spans="1:8" ht="73.5" hidden="1" customHeight="1" x14ac:dyDescent="0.25">
      <c r="A5" s="28">
        <v>3</v>
      </c>
      <c r="B5" s="340"/>
      <c r="C5" s="128" t="s">
        <v>363</v>
      </c>
      <c r="D5" s="122" t="s">
        <v>364</v>
      </c>
      <c r="E5" s="115"/>
      <c r="F5" s="126" t="s">
        <v>6</v>
      </c>
    </row>
    <row r="6" spans="1:8" ht="54.95" customHeight="1" x14ac:dyDescent="0.25">
      <c r="A6" s="129">
        <v>1</v>
      </c>
      <c r="B6" s="342" t="s">
        <v>365</v>
      </c>
      <c r="C6" s="128" t="s">
        <v>366</v>
      </c>
      <c r="D6" s="260" t="s">
        <v>367</v>
      </c>
      <c r="E6" s="28" t="s">
        <v>317</v>
      </c>
      <c r="F6" s="126" t="s">
        <v>6</v>
      </c>
    </row>
    <row r="7" spans="1:8" ht="39.950000000000003" customHeight="1" x14ac:dyDescent="0.25">
      <c r="A7" s="115">
        <v>2</v>
      </c>
      <c r="B7" s="342"/>
      <c r="C7" s="128" t="s">
        <v>368</v>
      </c>
      <c r="D7" s="260" t="s">
        <v>236</v>
      </c>
      <c r="E7" s="115" t="s">
        <v>321</v>
      </c>
      <c r="F7" s="126" t="s">
        <v>6</v>
      </c>
    </row>
    <row r="8" spans="1:8" ht="54.95" customHeight="1" x14ac:dyDescent="0.25">
      <c r="A8" s="115">
        <v>3</v>
      </c>
      <c r="B8" s="132" t="s">
        <v>369</v>
      </c>
      <c r="C8" s="137" t="s">
        <v>370</v>
      </c>
      <c r="D8" s="260" t="s">
        <v>371</v>
      </c>
      <c r="E8" s="28" t="s">
        <v>372</v>
      </c>
      <c r="F8" s="126" t="s">
        <v>6</v>
      </c>
    </row>
    <row r="9" spans="1:8" ht="45" customHeight="1" x14ac:dyDescent="0.25">
      <c r="A9" s="115">
        <v>4</v>
      </c>
      <c r="B9" s="131" t="s">
        <v>373</v>
      </c>
      <c r="C9" s="125" t="s">
        <v>374</v>
      </c>
      <c r="D9" s="122" t="s">
        <v>375</v>
      </c>
      <c r="E9" s="28" t="s">
        <v>241</v>
      </c>
      <c r="F9" s="126" t="s">
        <v>6</v>
      </c>
    </row>
    <row r="10" spans="1:8" ht="45" customHeight="1" x14ac:dyDescent="0.25">
      <c r="A10" s="28">
        <v>5</v>
      </c>
      <c r="B10" s="131" t="s">
        <v>376</v>
      </c>
      <c r="C10" s="125" t="s">
        <v>377</v>
      </c>
      <c r="D10" s="122" t="s">
        <v>378</v>
      </c>
      <c r="E10" s="248" t="s">
        <v>255</v>
      </c>
      <c r="F10" s="34" t="s">
        <v>6</v>
      </c>
    </row>
    <row r="11" spans="1:8" ht="30" hidden="1" customHeight="1" x14ac:dyDescent="0.25">
      <c r="A11" s="28">
        <v>9</v>
      </c>
      <c r="B11" s="197" t="s">
        <v>234</v>
      </c>
      <c r="C11" s="125" t="s">
        <v>379</v>
      </c>
      <c r="D11" s="122" t="s">
        <v>380</v>
      </c>
      <c r="E11" s="28" t="s">
        <v>241</v>
      </c>
      <c r="F11" s="34" t="s">
        <v>6</v>
      </c>
    </row>
    <row r="12" spans="1:8" ht="114.95" customHeight="1" x14ac:dyDescent="0.25">
      <c r="A12" s="28">
        <v>6</v>
      </c>
      <c r="B12" s="127" t="s">
        <v>381</v>
      </c>
      <c r="C12" s="125" t="s">
        <v>382</v>
      </c>
      <c r="D12" s="122" t="s">
        <v>383</v>
      </c>
      <c r="E12" s="28" t="s">
        <v>241</v>
      </c>
      <c r="F12" s="34" t="s">
        <v>6</v>
      </c>
      <c r="G12" s="2"/>
      <c r="H12" s="2"/>
    </row>
    <row r="13" spans="1:8" ht="45" customHeight="1" x14ac:dyDescent="0.25">
      <c r="A13" s="115">
        <v>7</v>
      </c>
      <c r="B13" s="222" t="s">
        <v>384</v>
      </c>
      <c r="C13" s="128" t="s">
        <v>385</v>
      </c>
      <c r="D13" s="260" t="s">
        <v>386</v>
      </c>
      <c r="E13" s="115" t="s">
        <v>246</v>
      </c>
      <c r="F13" s="126" t="s">
        <v>6</v>
      </c>
      <c r="G13" s="2"/>
      <c r="H13" s="2"/>
    </row>
    <row r="14" spans="1:8" ht="69.95" customHeight="1" x14ac:dyDescent="0.25">
      <c r="A14" s="115">
        <v>8</v>
      </c>
      <c r="B14" s="222" t="s">
        <v>387</v>
      </c>
      <c r="C14" s="128" t="s">
        <v>388</v>
      </c>
      <c r="D14" s="260" t="s">
        <v>389</v>
      </c>
      <c r="E14" s="115" t="s">
        <v>390</v>
      </c>
      <c r="F14" s="126" t="s">
        <v>6</v>
      </c>
    </row>
    <row r="15" spans="1:8" ht="54.95" customHeight="1" x14ac:dyDescent="0.25">
      <c r="A15" s="274">
        <v>9</v>
      </c>
      <c r="B15" s="275" t="s">
        <v>391</v>
      </c>
      <c r="C15" s="238" t="s">
        <v>392</v>
      </c>
      <c r="D15" s="276" t="s">
        <v>393</v>
      </c>
      <c r="E15" s="274" t="s">
        <v>394</v>
      </c>
      <c r="F15" s="126" t="s">
        <v>6</v>
      </c>
    </row>
    <row r="16" spans="1:8" ht="54.95" customHeight="1" x14ac:dyDescent="0.25">
      <c r="A16" s="277">
        <v>10</v>
      </c>
      <c r="B16" s="278" t="s">
        <v>395</v>
      </c>
      <c r="C16" s="238" t="s">
        <v>396</v>
      </c>
      <c r="D16" s="276" t="s">
        <v>397</v>
      </c>
      <c r="E16" s="274" t="s">
        <v>398</v>
      </c>
      <c r="F16" s="126" t="s">
        <v>6</v>
      </c>
    </row>
    <row r="17" spans="1:6" ht="54.95" customHeight="1" x14ac:dyDescent="0.25">
      <c r="A17" s="274">
        <v>11</v>
      </c>
      <c r="B17" s="223" t="s">
        <v>399</v>
      </c>
      <c r="C17" s="279" t="s">
        <v>400</v>
      </c>
      <c r="D17" s="276" t="s">
        <v>401</v>
      </c>
      <c r="E17" s="274" t="s">
        <v>402</v>
      </c>
      <c r="F17" s="126" t="s">
        <v>6</v>
      </c>
    </row>
    <row r="18" spans="1:6" ht="45" customHeight="1" x14ac:dyDescent="0.25">
      <c r="A18" s="252">
        <v>12</v>
      </c>
      <c r="B18" s="275" t="s">
        <v>403</v>
      </c>
      <c r="C18" s="280" t="s">
        <v>404</v>
      </c>
      <c r="D18" s="255" t="s">
        <v>405</v>
      </c>
      <c r="E18" s="252" t="s">
        <v>406</v>
      </c>
      <c r="F18" s="34" t="s">
        <v>6</v>
      </c>
    </row>
  </sheetData>
  <mergeCells count="2">
    <mergeCell ref="B2:B5"/>
    <mergeCell ref="B6:B7"/>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0C55-99C7-4321-898B-8654DF329278}">
  <dimension ref="B1:P56"/>
  <sheetViews>
    <sheetView topLeftCell="B12" workbookViewId="0">
      <selection activeCell="F27" sqref="F27"/>
    </sheetView>
  </sheetViews>
  <sheetFormatPr defaultRowHeight="15" x14ac:dyDescent="0.25"/>
  <cols>
    <col min="2" max="4" width="15.7109375" customWidth="1"/>
    <col min="5" max="7" width="10.7109375" customWidth="1"/>
    <col min="8" max="8" width="15.7109375" customWidth="1"/>
    <col min="9" max="9" width="20.7109375" customWidth="1"/>
    <col min="10" max="10" width="15.7109375" customWidth="1"/>
    <col min="11" max="13" width="10.7109375" customWidth="1"/>
    <col min="14" max="14" width="15.7109375" customWidth="1"/>
    <col min="15" max="15" width="20.7109375" customWidth="1"/>
    <col min="16" max="16" width="15.7109375" customWidth="1"/>
  </cols>
  <sheetData>
    <row r="1" spans="2:16" ht="15" customHeight="1" thickBot="1" x14ac:dyDescent="0.3"/>
    <row r="2" spans="2:16" ht="15" customHeight="1" x14ac:dyDescent="0.25">
      <c r="B2" s="361"/>
      <c r="C2" s="377" t="s">
        <v>407</v>
      </c>
      <c r="D2" s="366" t="s">
        <v>408</v>
      </c>
      <c r="H2" s="361"/>
      <c r="I2" s="377" t="s">
        <v>409</v>
      </c>
      <c r="J2" s="366" t="s">
        <v>408</v>
      </c>
      <c r="N2" s="361"/>
      <c r="O2" s="364" t="s">
        <v>410</v>
      </c>
      <c r="P2" s="366" t="s">
        <v>408</v>
      </c>
    </row>
    <row r="3" spans="2:16" x14ac:dyDescent="0.25">
      <c r="B3" s="362"/>
      <c r="C3" s="374"/>
      <c r="D3" s="367"/>
      <c r="H3" s="362"/>
      <c r="I3" s="374"/>
      <c r="J3" s="367"/>
      <c r="N3" s="362"/>
      <c r="O3" s="365"/>
      <c r="P3" s="367"/>
    </row>
    <row r="4" spans="2:16" x14ac:dyDescent="0.25">
      <c r="B4" s="362"/>
      <c r="C4" s="368" t="s">
        <v>411</v>
      </c>
      <c r="D4" s="370" t="s">
        <v>412</v>
      </c>
      <c r="H4" s="362"/>
      <c r="I4" s="368" t="s">
        <v>411</v>
      </c>
      <c r="J4" s="370" t="s">
        <v>412</v>
      </c>
      <c r="M4" s="202"/>
      <c r="N4" s="362"/>
      <c r="O4" s="368" t="s">
        <v>411</v>
      </c>
      <c r="P4" s="370" t="s">
        <v>412</v>
      </c>
    </row>
    <row r="5" spans="2:16" ht="15.75" thickBot="1" x14ac:dyDescent="0.3">
      <c r="B5" s="376"/>
      <c r="C5" s="374"/>
      <c r="D5" s="375"/>
      <c r="H5" s="363"/>
      <c r="I5" s="369"/>
      <c r="J5" s="371"/>
      <c r="M5" s="202"/>
      <c r="N5" s="363"/>
      <c r="O5" s="369"/>
      <c r="P5" s="371"/>
    </row>
    <row r="6" spans="2:16" ht="16.5" thickTop="1" thickBot="1" x14ac:dyDescent="0.3">
      <c r="B6" s="203" t="s">
        <v>413</v>
      </c>
      <c r="C6" s="34">
        <v>14</v>
      </c>
      <c r="D6" s="204">
        <v>14</v>
      </c>
      <c r="H6" s="205" t="s">
        <v>414</v>
      </c>
      <c r="I6" s="206">
        <v>14</v>
      </c>
      <c r="J6" s="207">
        <v>14</v>
      </c>
      <c r="M6" s="2"/>
      <c r="N6" s="208" t="s">
        <v>415</v>
      </c>
      <c r="O6" s="209">
        <v>14</v>
      </c>
      <c r="P6" s="209">
        <v>14</v>
      </c>
    </row>
    <row r="7" spans="2:16" ht="15.75" thickTop="1" x14ac:dyDescent="0.25">
      <c r="B7" s="203" t="s">
        <v>416</v>
      </c>
      <c r="C7" s="34">
        <v>14</v>
      </c>
      <c r="D7" s="204">
        <v>28</v>
      </c>
      <c r="H7" s="203" t="s">
        <v>417</v>
      </c>
      <c r="I7" s="34">
        <v>14</v>
      </c>
      <c r="J7" s="204">
        <v>28</v>
      </c>
      <c r="M7" s="2"/>
      <c r="N7" s="203" t="s">
        <v>418</v>
      </c>
      <c r="O7" s="34">
        <v>14</v>
      </c>
      <c r="P7" s="204">
        <v>28</v>
      </c>
    </row>
    <row r="8" spans="2:16" x14ac:dyDescent="0.25">
      <c r="B8" s="203" t="s">
        <v>419</v>
      </c>
      <c r="C8" s="34">
        <v>14</v>
      </c>
      <c r="D8" s="204">
        <v>42</v>
      </c>
      <c r="H8" s="203" t="s">
        <v>420</v>
      </c>
      <c r="I8" s="34">
        <v>14</v>
      </c>
      <c r="J8" s="204">
        <v>42</v>
      </c>
      <c r="M8" s="2"/>
      <c r="N8" s="203" t="s">
        <v>421</v>
      </c>
      <c r="O8" s="34">
        <v>14</v>
      </c>
      <c r="P8" s="204">
        <v>42</v>
      </c>
    </row>
    <row r="9" spans="2:16" x14ac:dyDescent="0.25">
      <c r="B9" s="203" t="s">
        <v>422</v>
      </c>
      <c r="C9" s="34">
        <v>14</v>
      </c>
      <c r="D9" s="204">
        <v>56</v>
      </c>
      <c r="H9" s="203" t="s">
        <v>423</v>
      </c>
      <c r="I9" s="34">
        <v>14</v>
      </c>
      <c r="J9" s="204">
        <v>56</v>
      </c>
      <c r="M9" s="2"/>
      <c r="N9" s="203" t="s">
        <v>424</v>
      </c>
      <c r="O9" s="34">
        <v>14</v>
      </c>
      <c r="P9" s="204">
        <v>56</v>
      </c>
    </row>
    <row r="10" spans="2:16" ht="15.75" thickBot="1" x14ac:dyDescent="0.3">
      <c r="B10" s="358"/>
      <c r="C10" s="359"/>
      <c r="D10" s="360"/>
      <c r="H10" s="358"/>
      <c r="I10" s="359"/>
      <c r="J10" s="360"/>
      <c r="M10" s="2"/>
      <c r="N10" s="358"/>
      <c r="O10" s="359"/>
      <c r="P10" s="360"/>
    </row>
    <row r="11" spans="2:16" ht="16.5" thickTop="1" thickBot="1" x14ac:dyDescent="0.3">
      <c r="B11" s="203" t="s">
        <v>425</v>
      </c>
      <c r="C11" s="34">
        <v>28</v>
      </c>
      <c r="D11" s="204">
        <v>28</v>
      </c>
      <c r="H11" s="203" t="s">
        <v>426</v>
      </c>
      <c r="I11" s="34">
        <v>28</v>
      </c>
      <c r="J11" s="204">
        <v>28</v>
      </c>
      <c r="M11" s="2"/>
      <c r="N11" s="208" t="s">
        <v>427</v>
      </c>
      <c r="O11" s="209">
        <v>28</v>
      </c>
      <c r="P11" s="209">
        <v>28</v>
      </c>
    </row>
    <row r="12" spans="2:16" ht="15.75" thickTop="1" x14ac:dyDescent="0.25">
      <c r="B12" s="203" t="s">
        <v>428</v>
      </c>
      <c r="C12" s="34">
        <v>28</v>
      </c>
      <c r="D12" s="204">
        <v>42</v>
      </c>
      <c r="H12" s="203" t="s">
        <v>429</v>
      </c>
      <c r="I12" s="34">
        <v>28</v>
      </c>
      <c r="J12" s="204">
        <v>42</v>
      </c>
      <c r="M12" s="2"/>
      <c r="N12" s="203" t="s">
        <v>430</v>
      </c>
      <c r="O12" s="34">
        <v>28</v>
      </c>
      <c r="P12" s="204">
        <v>42</v>
      </c>
    </row>
    <row r="13" spans="2:16" x14ac:dyDescent="0.25">
      <c r="B13" s="203" t="s">
        <v>431</v>
      </c>
      <c r="C13" s="34">
        <v>28</v>
      </c>
      <c r="D13" s="204">
        <v>56</v>
      </c>
      <c r="H13" s="203" t="s">
        <v>432</v>
      </c>
      <c r="I13" s="34">
        <v>28</v>
      </c>
      <c r="J13" s="204">
        <v>56</v>
      </c>
      <c r="M13" s="2"/>
      <c r="N13" s="203" t="s">
        <v>433</v>
      </c>
      <c r="O13" s="34">
        <v>28</v>
      </c>
      <c r="P13" s="204">
        <v>56</v>
      </c>
    </row>
    <row r="14" spans="2:16" ht="15.75" thickBot="1" x14ac:dyDescent="0.3">
      <c r="B14" s="358"/>
      <c r="C14" s="359"/>
      <c r="D14" s="360"/>
      <c r="H14" s="358"/>
      <c r="I14" s="359"/>
      <c r="J14" s="360"/>
      <c r="M14" s="2"/>
      <c r="N14" s="358"/>
      <c r="O14" s="359"/>
      <c r="P14" s="360"/>
    </row>
    <row r="15" spans="2:16" ht="16.5" thickTop="1" thickBot="1" x14ac:dyDescent="0.3">
      <c r="B15" s="203" t="s">
        <v>434</v>
      </c>
      <c r="C15" s="34">
        <v>42</v>
      </c>
      <c r="D15" s="204">
        <v>42</v>
      </c>
      <c r="H15" s="203" t="s">
        <v>435</v>
      </c>
      <c r="I15" s="34">
        <v>42</v>
      </c>
      <c r="J15" s="204">
        <v>42</v>
      </c>
      <c r="M15" s="2"/>
      <c r="N15" s="208" t="s">
        <v>436</v>
      </c>
      <c r="O15" s="209">
        <v>42</v>
      </c>
      <c r="P15" s="209">
        <v>42</v>
      </c>
    </row>
    <row r="16" spans="2:16" ht="16.5" thickTop="1" thickBot="1" x14ac:dyDescent="0.3">
      <c r="B16" s="210" t="s">
        <v>437</v>
      </c>
      <c r="C16" s="211">
        <v>42</v>
      </c>
      <c r="D16" s="212">
        <v>56</v>
      </c>
      <c r="H16" s="210" t="s">
        <v>438</v>
      </c>
      <c r="I16" s="211">
        <v>42</v>
      </c>
      <c r="J16" s="212">
        <v>56</v>
      </c>
      <c r="M16" s="2"/>
      <c r="N16" s="210" t="s">
        <v>439</v>
      </c>
      <c r="O16" s="211">
        <v>42</v>
      </c>
      <c r="P16" s="212">
        <v>56</v>
      </c>
    </row>
    <row r="17" spans="2:16" x14ac:dyDescent="0.25">
      <c r="C17" s="2"/>
      <c r="D17" s="2"/>
      <c r="I17" s="2"/>
      <c r="J17" s="2"/>
      <c r="O17" s="2"/>
      <c r="P17" s="2"/>
    </row>
    <row r="18" spans="2:16" x14ac:dyDescent="0.25">
      <c r="C18" s="2"/>
      <c r="D18" s="2"/>
      <c r="I18" s="2"/>
      <c r="J18" s="2"/>
      <c r="O18" s="2"/>
      <c r="P18" s="2"/>
    </row>
    <row r="19" spans="2:16" ht="15" customHeight="1" thickBot="1" x14ac:dyDescent="0.3">
      <c r="C19" s="2"/>
      <c r="D19" s="2"/>
      <c r="I19" s="2"/>
      <c r="J19" s="2"/>
      <c r="O19" s="2"/>
      <c r="P19" s="2"/>
    </row>
    <row r="20" spans="2:16" ht="15" customHeight="1" x14ac:dyDescent="0.25">
      <c r="B20" s="349"/>
      <c r="C20" s="351" t="s">
        <v>407</v>
      </c>
      <c r="D20" s="372" t="s">
        <v>440</v>
      </c>
      <c r="H20" s="349"/>
      <c r="I20" s="351" t="s">
        <v>409</v>
      </c>
      <c r="J20" s="372" t="s">
        <v>440</v>
      </c>
      <c r="N20" s="361"/>
      <c r="O20" s="364" t="s">
        <v>410</v>
      </c>
      <c r="P20" s="366" t="s">
        <v>440</v>
      </c>
    </row>
    <row r="21" spans="2:16" x14ac:dyDescent="0.25">
      <c r="B21" s="343"/>
      <c r="C21" s="352"/>
      <c r="D21" s="373"/>
      <c r="H21" s="343"/>
      <c r="I21" s="352"/>
      <c r="J21" s="373"/>
      <c r="N21" s="362"/>
      <c r="O21" s="365"/>
      <c r="P21" s="367"/>
    </row>
    <row r="22" spans="2:16" x14ac:dyDescent="0.25">
      <c r="B22" s="343"/>
      <c r="C22" s="352" t="s">
        <v>411</v>
      </c>
      <c r="D22" s="356" t="s">
        <v>412</v>
      </c>
      <c r="H22" s="343"/>
      <c r="I22" s="352" t="s">
        <v>411</v>
      </c>
      <c r="J22" s="356" t="s">
        <v>412</v>
      </c>
      <c r="N22" s="362"/>
      <c r="O22" s="368" t="s">
        <v>411</v>
      </c>
      <c r="P22" s="370" t="s">
        <v>412</v>
      </c>
    </row>
    <row r="23" spans="2:16" ht="15.75" thickBot="1" x14ac:dyDescent="0.3">
      <c r="B23" s="350"/>
      <c r="C23" s="355"/>
      <c r="D23" s="357"/>
      <c r="H23" s="350"/>
      <c r="I23" s="355"/>
      <c r="J23" s="357"/>
      <c r="N23" s="363"/>
      <c r="O23" s="369"/>
      <c r="P23" s="371"/>
    </row>
    <row r="24" spans="2:16" ht="16.5" thickTop="1" thickBot="1" x14ac:dyDescent="0.3">
      <c r="B24" s="213" t="s">
        <v>441</v>
      </c>
      <c r="C24" s="36">
        <v>14</v>
      </c>
      <c r="D24" s="214">
        <v>14</v>
      </c>
      <c r="H24" s="218" t="s">
        <v>442</v>
      </c>
      <c r="I24" s="219">
        <v>14</v>
      </c>
      <c r="J24" s="220">
        <v>14</v>
      </c>
      <c r="N24" s="232" t="s">
        <v>443</v>
      </c>
      <c r="O24" s="209">
        <v>14</v>
      </c>
      <c r="P24" s="233">
        <v>14</v>
      </c>
    </row>
    <row r="25" spans="2:16" ht="16.5" thickTop="1" thickBot="1" x14ac:dyDescent="0.3">
      <c r="B25" s="203" t="s">
        <v>444</v>
      </c>
      <c r="C25" s="34">
        <v>14</v>
      </c>
      <c r="D25" s="204">
        <v>28</v>
      </c>
      <c r="H25" s="203" t="s">
        <v>445</v>
      </c>
      <c r="I25" s="34">
        <v>14</v>
      </c>
      <c r="J25" s="204">
        <v>28</v>
      </c>
      <c r="N25" s="232" t="s">
        <v>446</v>
      </c>
      <c r="O25" s="209">
        <v>14</v>
      </c>
      <c r="P25" s="233">
        <v>28</v>
      </c>
    </row>
    <row r="26" spans="2:16" ht="15.75" thickTop="1" x14ac:dyDescent="0.25">
      <c r="B26" s="203" t="s">
        <v>447</v>
      </c>
      <c r="C26" s="34">
        <v>14</v>
      </c>
      <c r="D26" s="204">
        <v>42</v>
      </c>
      <c r="H26" s="203" t="s">
        <v>448</v>
      </c>
      <c r="I26" s="34">
        <v>14</v>
      </c>
      <c r="J26" s="204">
        <v>42</v>
      </c>
      <c r="N26" s="203" t="s">
        <v>449</v>
      </c>
      <c r="O26" s="34">
        <v>14</v>
      </c>
      <c r="P26" s="204">
        <v>42</v>
      </c>
    </row>
    <row r="27" spans="2:16" x14ac:dyDescent="0.25">
      <c r="B27" s="203" t="s">
        <v>450</v>
      </c>
      <c r="C27" s="34">
        <v>14</v>
      </c>
      <c r="D27" s="204">
        <v>56</v>
      </c>
      <c r="H27" s="203" t="s">
        <v>451</v>
      </c>
      <c r="I27" s="34">
        <v>14</v>
      </c>
      <c r="J27" s="204">
        <v>56</v>
      </c>
      <c r="N27" s="203" t="s">
        <v>452</v>
      </c>
      <c r="O27" s="34">
        <v>14</v>
      </c>
      <c r="P27" s="204">
        <v>56</v>
      </c>
    </row>
    <row r="28" spans="2:16" ht="15.75" thickBot="1" x14ac:dyDescent="0.3">
      <c r="B28" s="343"/>
      <c r="C28" s="344"/>
      <c r="D28" s="345"/>
      <c r="H28" s="343"/>
      <c r="I28" s="344"/>
      <c r="J28" s="345"/>
      <c r="N28" s="358"/>
      <c r="O28" s="359"/>
      <c r="P28" s="360"/>
    </row>
    <row r="29" spans="2:16" ht="16.5" thickTop="1" thickBot="1" x14ac:dyDescent="0.3">
      <c r="B29" s="203" t="s">
        <v>453</v>
      </c>
      <c r="C29" s="34">
        <v>28</v>
      </c>
      <c r="D29" s="204">
        <v>28</v>
      </c>
      <c r="H29" s="217" t="s">
        <v>454</v>
      </c>
      <c r="I29" s="215">
        <v>28</v>
      </c>
      <c r="J29" s="216">
        <v>28</v>
      </c>
      <c r="N29" s="232" t="s">
        <v>455</v>
      </c>
      <c r="O29" s="209">
        <v>28</v>
      </c>
      <c r="P29" s="233">
        <v>28</v>
      </c>
    </row>
    <row r="30" spans="2:16" ht="16.5" thickTop="1" thickBot="1" x14ac:dyDescent="0.3">
      <c r="B30" s="203" t="s">
        <v>456</v>
      </c>
      <c r="C30" s="34">
        <v>28</v>
      </c>
      <c r="D30" s="204">
        <v>42</v>
      </c>
      <c r="H30" s="203" t="s">
        <v>457</v>
      </c>
      <c r="I30" s="34">
        <v>28</v>
      </c>
      <c r="J30" s="204">
        <v>42</v>
      </c>
      <c r="N30" s="232" t="s">
        <v>458</v>
      </c>
      <c r="O30" s="209">
        <v>28</v>
      </c>
      <c r="P30" s="233">
        <v>42</v>
      </c>
    </row>
    <row r="31" spans="2:16" ht="15.75" thickTop="1" x14ac:dyDescent="0.25">
      <c r="B31" s="203" t="s">
        <v>459</v>
      </c>
      <c r="C31" s="34">
        <v>28</v>
      </c>
      <c r="D31" s="204">
        <v>56</v>
      </c>
      <c r="H31" s="203" t="s">
        <v>460</v>
      </c>
      <c r="I31" s="34">
        <v>28</v>
      </c>
      <c r="J31" s="204">
        <v>56</v>
      </c>
      <c r="N31" s="203" t="s">
        <v>461</v>
      </c>
      <c r="O31" s="34">
        <v>28</v>
      </c>
      <c r="P31" s="204">
        <v>56</v>
      </c>
    </row>
    <row r="32" spans="2:16" ht="15.75" thickBot="1" x14ac:dyDescent="0.3">
      <c r="B32" s="343"/>
      <c r="C32" s="344"/>
      <c r="D32" s="345"/>
      <c r="H32" s="343"/>
      <c r="I32" s="344"/>
      <c r="J32" s="345"/>
      <c r="N32" s="358"/>
      <c r="O32" s="359"/>
      <c r="P32" s="360"/>
    </row>
    <row r="33" spans="2:16" ht="16.5" thickTop="1" thickBot="1" x14ac:dyDescent="0.3">
      <c r="B33" s="203" t="s">
        <v>462</v>
      </c>
      <c r="C33" s="34">
        <v>42</v>
      </c>
      <c r="D33" s="204">
        <v>42</v>
      </c>
      <c r="H33" s="217" t="s">
        <v>463</v>
      </c>
      <c r="I33" s="215">
        <v>42</v>
      </c>
      <c r="J33" s="216">
        <v>42</v>
      </c>
      <c r="N33" s="232" t="s">
        <v>464</v>
      </c>
      <c r="O33" s="209">
        <v>42</v>
      </c>
      <c r="P33" s="233">
        <v>42</v>
      </c>
    </row>
    <row r="34" spans="2:16" ht="15.75" thickTop="1" x14ac:dyDescent="0.25">
      <c r="B34" s="203" t="s">
        <v>465</v>
      </c>
      <c r="C34" s="34">
        <v>42</v>
      </c>
      <c r="D34" s="204">
        <v>56</v>
      </c>
      <c r="H34" s="203" t="s">
        <v>466</v>
      </c>
      <c r="I34" s="34">
        <v>42</v>
      </c>
      <c r="J34" s="204">
        <v>56</v>
      </c>
      <c r="N34" s="234" t="s">
        <v>467</v>
      </c>
      <c r="O34" s="206">
        <v>42</v>
      </c>
      <c r="P34" s="207">
        <v>56</v>
      </c>
    </row>
    <row r="35" spans="2:16" ht="15.75" thickBot="1" x14ac:dyDescent="0.3">
      <c r="B35" s="346"/>
      <c r="C35" s="347"/>
      <c r="D35" s="348"/>
      <c r="H35" s="343"/>
      <c r="I35" s="344"/>
      <c r="J35" s="345"/>
      <c r="N35" s="358"/>
      <c r="O35" s="359"/>
      <c r="P35" s="360"/>
    </row>
    <row r="36" spans="2:16" ht="16.5" thickTop="1" thickBot="1" x14ac:dyDescent="0.3">
      <c r="B36" s="210" t="s">
        <v>468</v>
      </c>
      <c r="C36" s="211">
        <v>56</v>
      </c>
      <c r="D36" s="212">
        <v>56</v>
      </c>
      <c r="H36" s="208" t="s">
        <v>469</v>
      </c>
      <c r="I36" s="209">
        <v>56</v>
      </c>
      <c r="J36" s="209">
        <v>56</v>
      </c>
      <c r="N36" s="235" t="s">
        <v>470</v>
      </c>
      <c r="O36" s="236">
        <v>56</v>
      </c>
      <c r="P36" s="237">
        <v>56</v>
      </c>
    </row>
    <row r="39" spans="2:16" ht="15.75" thickBot="1" x14ac:dyDescent="0.3"/>
    <row r="40" spans="2:16" x14ac:dyDescent="0.25">
      <c r="B40" s="349"/>
      <c r="C40" s="351" t="s">
        <v>407</v>
      </c>
      <c r="D40" s="353" t="s">
        <v>471</v>
      </c>
      <c r="H40" s="349"/>
      <c r="I40" s="351" t="s">
        <v>409</v>
      </c>
      <c r="J40" s="353" t="s">
        <v>472</v>
      </c>
    </row>
    <row r="41" spans="2:16" x14ac:dyDescent="0.25">
      <c r="B41" s="343"/>
      <c r="C41" s="352"/>
      <c r="D41" s="354"/>
      <c r="H41" s="343"/>
      <c r="I41" s="352"/>
      <c r="J41" s="354"/>
    </row>
    <row r="42" spans="2:16" x14ac:dyDescent="0.25">
      <c r="B42" s="343"/>
      <c r="C42" s="352" t="s">
        <v>411</v>
      </c>
      <c r="D42" s="356" t="s">
        <v>412</v>
      </c>
      <c r="H42" s="343"/>
      <c r="I42" s="352" t="s">
        <v>411</v>
      </c>
      <c r="J42" s="356" t="s">
        <v>412</v>
      </c>
    </row>
    <row r="43" spans="2:16" ht="15.75" thickBot="1" x14ac:dyDescent="0.3">
      <c r="B43" s="350"/>
      <c r="C43" s="355"/>
      <c r="D43" s="357"/>
      <c r="H43" s="350"/>
      <c r="I43" s="355"/>
      <c r="J43" s="357"/>
    </row>
    <row r="44" spans="2:16" x14ac:dyDescent="0.25">
      <c r="B44" s="213" t="s">
        <v>473</v>
      </c>
      <c r="C44" s="36">
        <v>14</v>
      </c>
      <c r="D44" s="214">
        <v>14</v>
      </c>
      <c r="H44" s="218" t="s">
        <v>474</v>
      </c>
      <c r="I44" s="219">
        <v>14</v>
      </c>
      <c r="J44" s="220">
        <v>14</v>
      </c>
    </row>
    <row r="45" spans="2:16" x14ac:dyDescent="0.25">
      <c r="B45" s="203" t="s">
        <v>475</v>
      </c>
      <c r="C45" s="34">
        <v>14</v>
      </c>
      <c r="D45" s="204">
        <v>28</v>
      </c>
      <c r="H45" s="203" t="s">
        <v>476</v>
      </c>
      <c r="I45" s="34">
        <v>14</v>
      </c>
      <c r="J45" s="204">
        <v>28</v>
      </c>
    </row>
    <row r="46" spans="2:16" x14ac:dyDescent="0.25">
      <c r="B46" s="203" t="s">
        <v>477</v>
      </c>
      <c r="C46" s="34">
        <v>14</v>
      </c>
      <c r="D46" s="204">
        <v>42</v>
      </c>
      <c r="H46" s="203" t="s">
        <v>478</v>
      </c>
      <c r="I46" s="34">
        <v>14</v>
      </c>
      <c r="J46" s="204">
        <v>42</v>
      </c>
    </row>
    <row r="47" spans="2:16" x14ac:dyDescent="0.25">
      <c r="B47" s="203" t="s">
        <v>479</v>
      </c>
      <c r="C47" s="34">
        <v>14</v>
      </c>
      <c r="D47" s="204">
        <v>56</v>
      </c>
      <c r="H47" s="203" t="s">
        <v>480</v>
      </c>
      <c r="I47" s="34">
        <v>14</v>
      </c>
      <c r="J47" s="204">
        <v>56</v>
      </c>
    </row>
    <row r="48" spans="2:16" x14ac:dyDescent="0.25">
      <c r="B48" s="343"/>
      <c r="C48" s="344"/>
      <c r="D48" s="345"/>
      <c r="H48" s="343"/>
      <c r="I48" s="344"/>
      <c r="J48" s="345"/>
    </row>
    <row r="49" spans="2:10" x14ac:dyDescent="0.25">
      <c r="B49" s="203" t="s">
        <v>481</v>
      </c>
      <c r="C49" s="34">
        <v>28</v>
      </c>
      <c r="D49" s="204">
        <v>28</v>
      </c>
      <c r="H49" s="217" t="s">
        <v>482</v>
      </c>
      <c r="I49" s="215">
        <v>28</v>
      </c>
      <c r="J49" s="216">
        <v>28</v>
      </c>
    </row>
    <row r="50" spans="2:10" x14ac:dyDescent="0.25">
      <c r="B50" s="203" t="s">
        <v>483</v>
      </c>
      <c r="C50" s="34">
        <v>28</v>
      </c>
      <c r="D50" s="204">
        <v>42</v>
      </c>
      <c r="H50" s="203" t="s">
        <v>484</v>
      </c>
      <c r="I50" s="34">
        <v>28</v>
      </c>
      <c r="J50" s="204">
        <v>42</v>
      </c>
    </row>
    <row r="51" spans="2:10" x14ac:dyDescent="0.25">
      <c r="B51" s="203" t="s">
        <v>485</v>
      </c>
      <c r="C51" s="34">
        <v>28</v>
      </c>
      <c r="D51" s="204">
        <v>56</v>
      </c>
      <c r="H51" s="203" t="s">
        <v>486</v>
      </c>
      <c r="I51" s="34">
        <v>28</v>
      </c>
      <c r="J51" s="204">
        <v>56</v>
      </c>
    </row>
    <row r="52" spans="2:10" x14ac:dyDescent="0.25">
      <c r="B52" s="343"/>
      <c r="C52" s="344"/>
      <c r="D52" s="345"/>
      <c r="H52" s="343"/>
      <c r="I52" s="344"/>
      <c r="J52" s="345"/>
    </row>
    <row r="53" spans="2:10" x14ac:dyDescent="0.25">
      <c r="B53" s="203" t="s">
        <v>487</v>
      </c>
      <c r="C53" s="34">
        <v>42</v>
      </c>
      <c r="D53" s="204">
        <v>42</v>
      </c>
      <c r="H53" s="217" t="s">
        <v>488</v>
      </c>
      <c r="I53" s="215">
        <v>42</v>
      </c>
      <c r="J53" s="216">
        <v>42</v>
      </c>
    </row>
    <row r="54" spans="2:10" x14ac:dyDescent="0.25">
      <c r="B54" s="203" t="s">
        <v>489</v>
      </c>
      <c r="C54" s="34">
        <v>42</v>
      </c>
      <c r="D54" s="204">
        <v>56</v>
      </c>
      <c r="H54" s="203" t="s">
        <v>490</v>
      </c>
      <c r="I54" s="34">
        <v>42</v>
      </c>
      <c r="J54" s="204">
        <v>56</v>
      </c>
    </row>
    <row r="55" spans="2:10" ht="15.75" thickBot="1" x14ac:dyDescent="0.3">
      <c r="B55" s="346"/>
      <c r="C55" s="347"/>
      <c r="D55" s="348"/>
      <c r="H55" s="343"/>
      <c r="I55" s="344"/>
      <c r="J55" s="345"/>
    </row>
    <row r="56" spans="2:10" ht="16.5" thickTop="1" thickBot="1" x14ac:dyDescent="0.3">
      <c r="B56" s="210" t="s">
        <v>491</v>
      </c>
      <c r="C56" s="211">
        <v>56</v>
      </c>
      <c r="D56" s="212">
        <v>56</v>
      </c>
      <c r="H56" s="208" t="s">
        <v>492</v>
      </c>
      <c r="I56" s="209">
        <v>56</v>
      </c>
      <c r="J56" s="209">
        <v>56</v>
      </c>
    </row>
  </sheetData>
  <mergeCells count="61">
    <mergeCell ref="B2:B5"/>
    <mergeCell ref="C2:C3"/>
    <mergeCell ref="D2:D3"/>
    <mergeCell ref="H2:H5"/>
    <mergeCell ref="I2:I3"/>
    <mergeCell ref="N2:N5"/>
    <mergeCell ref="O2:O3"/>
    <mergeCell ref="P2:P3"/>
    <mergeCell ref="C4:C5"/>
    <mergeCell ref="D4:D5"/>
    <mergeCell ref="I4:I5"/>
    <mergeCell ref="J4:J5"/>
    <mergeCell ref="O4:O5"/>
    <mergeCell ref="P4:P5"/>
    <mergeCell ref="J2:J3"/>
    <mergeCell ref="B10:D10"/>
    <mergeCell ref="H10:J10"/>
    <mergeCell ref="N10:P10"/>
    <mergeCell ref="B14:D14"/>
    <mergeCell ref="H14:J14"/>
    <mergeCell ref="N14:P14"/>
    <mergeCell ref="B20:B23"/>
    <mergeCell ref="C20:C21"/>
    <mergeCell ref="D20:D21"/>
    <mergeCell ref="H20:H23"/>
    <mergeCell ref="I20:I21"/>
    <mergeCell ref="N20:N23"/>
    <mergeCell ref="O20:O21"/>
    <mergeCell ref="P20:P21"/>
    <mergeCell ref="C22:C23"/>
    <mergeCell ref="D22:D23"/>
    <mergeCell ref="I22:I23"/>
    <mergeCell ref="J22:J23"/>
    <mergeCell ref="O22:O23"/>
    <mergeCell ref="P22:P23"/>
    <mergeCell ref="J20:J21"/>
    <mergeCell ref="B35:D35"/>
    <mergeCell ref="H35:J35"/>
    <mergeCell ref="B28:D28"/>
    <mergeCell ref="H28:J28"/>
    <mergeCell ref="N28:P28"/>
    <mergeCell ref="B32:D32"/>
    <mergeCell ref="H32:J32"/>
    <mergeCell ref="N32:P32"/>
    <mergeCell ref="N35:P35"/>
    <mergeCell ref="B48:D48"/>
    <mergeCell ref="B52:D52"/>
    <mergeCell ref="B55:D55"/>
    <mergeCell ref="H40:H43"/>
    <mergeCell ref="I40:I41"/>
    <mergeCell ref="H55:J55"/>
    <mergeCell ref="B40:B43"/>
    <mergeCell ref="C40:C41"/>
    <mergeCell ref="D40:D41"/>
    <mergeCell ref="C42:C43"/>
    <mergeCell ref="D42:D43"/>
    <mergeCell ref="J40:J41"/>
    <mergeCell ref="I42:I43"/>
    <mergeCell ref="J42:J43"/>
    <mergeCell ref="H48:J48"/>
    <mergeCell ref="H52:J52"/>
  </mergeCell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8EC4-75B0-4632-BB20-875278CD2C20}">
  <dimension ref="A1:F17"/>
  <sheetViews>
    <sheetView workbookViewId="0">
      <selection activeCell="H12" sqref="H12"/>
    </sheetView>
  </sheetViews>
  <sheetFormatPr defaultRowHeight="15" x14ac:dyDescent="0.25"/>
  <cols>
    <col min="1" max="1" width="5.28515625" bestFit="1" customWidth="1"/>
    <col min="2" max="2" width="20.7109375" customWidth="1"/>
    <col min="3" max="3" width="90.7109375" style="133" customWidth="1"/>
    <col min="4" max="4" width="23.140625" style="96" customWidth="1"/>
    <col min="5" max="5" width="30.7109375" style="2" customWidth="1"/>
    <col min="6" max="6" width="15.7109375" customWidth="1"/>
  </cols>
  <sheetData>
    <row r="1" spans="1:6" ht="35.1" customHeight="1" x14ac:dyDescent="0.25">
      <c r="A1" s="32" t="s">
        <v>116</v>
      </c>
      <c r="B1" s="124" t="s">
        <v>17</v>
      </c>
      <c r="C1" s="33" t="s">
        <v>2</v>
      </c>
      <c r="D1" s="97" t="s">
        <v>154</v>
      </c>
      <c r="E1" s="33" t="s">
        <v>155</v>
      </c>
      <c r="F1" s="33" t="s">
        <v>156</v>
      </c>
    </row>
    <row r="2" spans="1:6" ht="35.1" customHeight="1" x14ac:dyDescent="0.25">
      <c r="A2" s="28">
        <v>0</v>
      </c>
      <c r="B2" s="378" t="s">
        <v>493</v>
      </c>
      <c r="C2" s="125" t="s">
        <v>494</v>
      </c>
      <c r="D2" s="122" t="s">
        <v>495</v>
      </c>
      <c r="E2" s="28" t="s">
        <v>496</v>
      </c>
      <c r="F2" s="123"/>
    </row>
    <row r="3" spans="1:6" ht="35.1" customHeight="1" x14ac:dyDescent="0.25">
      <c r="A3" s="28">
        <v>1</v>
      </c>
      <c r="B3" s="379"/>
      <c r="C3" s="125" t="s">
        <v>497</v>
      </c>
      <c r="D3" s="122" t="s">
        <v>498</v>
      </c>
      <c r="E3" s="28" t="s">
        <v>499</v>
      </c>
      <c r="F3" s="123"/>
    </row>
    <row r="4" spans="1:6" ht="35.1" customHeight="1" x14ac:dyDescent="0.25">
      <c r="A4" s="28">
        <v>2</v>
      </c>
      <c r="B4" s="379"/>
      <c r="C4" s="125" t="s">
        <v>500</v>
      </c>
      <c r="D4" s="122" t="s">
        <v>501</v>
      </c>
      <c r="E4" s="28" t="s">
        <v>502</v>
      </c>
      <c r="F4" s="123"/>
    </row>
    <row r="5" spans="1:6" ht="35.1" customHeight="1" x14ac:dyDescent="0.25">
      <c r="A5" s="28">
        <v>3</v>
      </c>
      <c r="B5" s="379"/>
      <c r="C5" s="125" t="s">
        <v>503</v>
      </c>
      <c r="D5" s="122" t="s">
        <v>504</v>
      </c>
      <c r="E5" s="28" t="s">
        <v>505</v>
      </c>
      <c r="F5" s="123"/>
    </row>
    <row r="6" spans="1:6" ht="35.1" customHeight="1" x14ac:dyDescent="0.25">
      <c r="A6" s="28">
        <v>4</v>
      </c>
      <c r="B6" s="379"/>
      <c r="C6" s="125" t="s">
        <v>506</v>
      </c>
      <c r="D6" s="122" t="s">
        <v>507</v>
      </c>
      <c r="E6" s="28" t="s">
        <v>508</v>
      </c>
      <c r="F6" s="123"/>
    </row>
    <row r="7" spans="1:6" ht="35.1" customHeight="1" x14ac:dyDescent="0.25">
      <c r="A7" s="28">
        <v>5</v>
      </c>
      <c r="B7" s="379"/>
      <c r="C7" s="125" t="s">
        <v>509</v>
      </c>
      <c r="D7" s="122" t="s">
        <v>510</v>
      </c>
      <c r="E7" s="28" t="s">
        <v>511</v>
      </c>
      <c r="F7" s="123"/>
    </row>
    <row r="8" spans="1:6" ht="35.1" customHeight="1" x14ac:dyDescent="0.25">
      <c r="A8" s="28">
        <v>6</v>
      </c>
      <c r="B8" s="379"/>
      <c r="C8" s="125" t="s">
        <v>512</v>
      </c>
      <c r="D8" s="122" t="s">
        <v>513</v>
      </c>
      <c r="E8" s="28" t="s">
        <v>514</v>
      </c>
      <c r="F8" s="123"/>
    </row>
    <row r="9" spans="1:6" ht="35.1" customHeight="1" x14ac:dyDescent="0.25">
      <c r="A9" s="28">
        <v>7</v>
      </c>
      <c r="B9" s="379"/>
      <c r="C9" s="125" t="s">
        <v>515</v>
      </c>
      <c r="D9" s="122" t="s">
        <v>516</v>
      </c>
      <c r="E9" s="28" t="s">
        <v>517</v>
      </c>
      <c r="F9" s="123"/>
    </row>
    <row r="10" spans="1:6" ht="35.1" customHeight="1" x14ac:dyDescent="0.25">
      <c r="A10" s="28">
        <v>8</v>
      </c>
      <c r="B10" s="379"/>
      <c r="C10" s="125" t="s">
        <v>518</v>
      </c>
      <c r="D10" s="122" t="s">
        <v>519</v>
      </c>
      <c r="E10" s="28" t="s">
        <v>520</v>
      </c>
      <c r="F10" s="123"/>
    </row>
    <row r="11" spans="1:6" ht="35.1" customHeight="1" x14ac:dyDescent="0.25">
      <c r="A11" s="28">
        <v>9</v>
      </c>
      <c r="B11" s="379"/>
      <c r="C11" s="125" t="s">
        <v>521</v>
      </c>
      <c r="D11" s="122" t="s">
        <v>522</v>
      </c>
      <c r="E11" s="28" t="s">
        <v>523</v>
      </c>
      <c r="F11" s="123"/>
    </row>
    <row r="12" spans="1:6" ht="35.1" customHeight="1" x14ac:dyDescent="0.25">
      <c r="A12" s="129">
        <v>10</v>
      </c>
      <c r="B12" s="379"/>
      <c r="C12" s="125" t="s">
        <v>524</v>
      </c>
      <c r="D12" s="122" t="s">
        <v>525</v>
      </c>
      <c r="E12" s="28" t="s">
        <v>526</v>
      </c>
      <c r="F12" s="123"/>
    </row>
    <row r="13" spans="1:6" ht="35.1" customHeight="1" x14ac:dyDescent="0.25">
      <c r="A13" s="28">
        <v>11</v>
      </c>
      <c r="B13" s="379"/>
      <c r="C13" s="125" t="s">
        <v>527</v>
      </c>
      <c r="D13" s="122" t="s">
        <v>528</v>
      </c>
      <c r="E13" s="28" t="s">
        <v>529</v>
      </c>
      <c r="F13" s="123"/>
    </row>
    <row r="14" spans="1:6" ht="35.1" customHeight="1" x14ac:dyDescent="0.25">
      <c r="A14" s="28">
        <v>12</v>
      </c>
      <c r="B14" s="379"/>
      <c r="C14" s="125" t="s">
        <v>530</v>
      </c>
      <c r="D14" s="122" t="s">
        <v>531</v>
      </c>
      <c r="E14" s="28" t="s">
        <v>532</v>
      </c>
      <c r="F14" s="123"/>
    </row>
    <row r="15" spans="1:6" ht="35.1" customHeight="1" x14ac:dyDescent="0.25">
      <c r="A15" s="28">
        <v>13</v>
      </c>
      <c r="B15" s="379"/>
      <c r="C15" s="125" t="s">
        <v>533</v>
      </c>
      <c r="D15" s="122" t="s">
        <v>534</v>
      </c>
      <c r="E15" s="28" t="s">
        <v>535</v>
      </c>
      <c r="F15" s="123"/>
    </row>
    <row r="16" spans="1:6" ht="35.1" customHeight="1" x14ac:dyDescent="0.25">
      <c r="A16" s="28">
        <v>14</v>
      </c>
      <c r="B16" s="379"/>
      <c r="C16" s="125" t="s">
        <v>536</v>
      </c>
      <c r="D16" s="122" t="s">
        <v>537</v>
      </c>
      <c r="E16" s="28" t="s">
        <v>538</v>
      </c>
      <c r="F16" s="123"/>
    </row>
    <row r="17" spans="1:6" ht="35.1" customHeight="1" x14ac:dyDescent="0.25">
      <c r="A17" s="28">
        <v>15</v>
      </c>
      <c r="B17" s="380"/>
      <c r="C17" s="125" t="s">
        <v>539</v>
      </c>
      <c r="D17" s="122" t="s">
        <v>540</v>
      </c>
      <c r="E17" s="28" t="s">
        <v>541</v>
      </c>
      <c r="F17" s="123"/>
    </row>
  </sheetData>
  <mergeCells count="1">
    <mergeCell ref="B2:B17"/>
  </mergeCells>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C89C-5B49-4B9F-A484-9477A519FF0C}">
  <dimension ref="A1:J2"/>
  <sheetViews>
    <sheetView zoomScaleNormal="100" workbookViewId="0">
      <selection activeCell="C14" sqref="C14"/>
    </sheetView>
  </sheetViews>
  <sheetFormatPr defaultRowHeight="15" x14ac:dyDescent="0.25"/>
  <cols>
    <col min="1" max="1" width="9.140625" customWidth="1"/>
    <col min="2" max="2" width="27.140625" customWidth="1"/>
    <col min="3" max="3" width="96" customWidth="1"/>
    <col min="4" max="4" width="13.28515625" customWidth="1"/>
    <col min="5" max="5" width="11.140625" bestFit="1" customWidth="1"/>
    <col min="6" max="6" width="10.28515625" bestFit="1" customWidth="1"/>
    <col min="7" max="7" width="11.5703125" bestFit="1" customWidth="1"/>
    <col min="8" max="8" width="33.85546875" customWidth="1"/>
    <col min="9" max="9" width="41.28515625" customWidth="1"/>
    <col min="10" max="10" width="13.28515625" customWidth="1"/>
  </cols>
  <sheetData>
    <row r="1" spans="1:10" ht="30" x14ac:dyDescent="0.25">
      <c r="A1" s="32" t="s">
        <v>116</v>
      </c>
      <c r="B1" s="32" t="s">
        <v>17</v>
      </c>
      <c r="C1" s="32" t="s">
        <v>2</v>
      </c>
      <c r="D1" s="32" t="s">
        <v>153</v>
      </c>
      <c r="E1" s="32" t="s">
        <v>18</v>
      </c>
      <c r="F1" s="32" t="s">
        <v>19</v>
      </c>
      <c r="G1" s="32" t="s">
        <v>53</v>
      </c>
      <c r="H1" s="97" t="s">
        <v>154</v>
      </c>
      <c r="I1" s="33" t="s">
        <v>155</v>
      </c>
      <c r="J1" s="33" t="s">
        <v>156</v>
      </c>
    </row>
    <row r="2" spans="1:10" ht="53.25" customHeight="1" x14ac:dyDescent="0.25">
      <c r="A2" s="28">
        <v>1</v>
      </c>
      <c r="B2" s="130" t="s">
        <v>542</v>
      </c>
      <c r="C2" s="125" t="s">
        <v>543</v>
      </c>
      <c r="D2" s="28"/>
      <c r="E2" s="1"/>
      <c r="F2" s="1"/>
      <c r="G2" s="1"/>
      <c r="H2" s="122" t="s">
        <v>326</v>
      </c>
      <c r="I2" s="28" t="s">
        <v>358</v>
      </c>
      <c r="J2" s="34"/>
    </row>
  </sheetData>
  <hyperlinks>
    <hyperlink ref="D1" location="'CU Plane Coupling - Use_cases'!A1" display="Use cases " xr:uid="{7FBBC0F0-0B58-4501-B6FA-2B80CB645C8F}"/>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D8B73-8024-46B7-BD00-B25D3B5D9E49}">
  <dimension ref="A1:E80"/>
  <sheetViews>
    <sheetView topLeftCell="B10" workbookViewId="0">
      <selection activeCell="B7" sqref="A7:XFD7"/>
    </sheetView>
  </sheetViews>
  <sheetFormatPr defaultRowHeight="15" x14ac:dyDescent="0.25"/>
  <cols>
    <col min="1" max="1" width="7.85546875" style="2" customWidth="1"/>
    <col min="2" max="2" width="59" style="163" customWidth="1"/>
    <col min="3" max="3" width="77.7109375" style="163" bestFit="1" customWidth="1"/>
    <col min="4" max="4" width="151.140625" style="163" bestFit="1" customWidth="1"/>
    <col min="5" max="5" width="30" hidden="1" customWidth="1"/>
  </cols>
  <sheetData>
    <row r="1" spans="1:5" s="179" customFormat="1" ht="27.75" customHeight="1" x14ac:dyDescent="0.25">
      <c r="A1" s="176" t="s">
        <v>116</v>
      </c>
      <c r="B1" s="177" t="s">
        <v>17</v>
      </c>
      <c r="C1" s="177" t="s">
        <v>544</v>
      </c>
      <c r="D1" s="177" t="s">
        <v>2</v>
      </c>
      <c r="E1" s="178" t="s">
        <v>1</v>
      </c>
    </row>
    <row r="2" spans="1:5" x14ac:dyDescent="0.25">
      <c r="A2" s="2">
        <v>1</v>
      </c>
      <c r="B2" s="163" t="s">
        <v>545</v>
      </c>
      <c r="C2" s="163" t="s">
        <v>546</v>
      </c>
      <c r="E2" s="6"/>
    </row>
    <row r="3" spans="1:5" x14ac:dyDescent="0.25">
      <c r="A3" s="2">
        <f t="shared" ref="A3:A16" si="0">A2+1</f>
        <v>2</v>
      </c>
      <c r="B3" s="163" t="s">
        <v>547</v>
      </c>
      <c r="C3" s="163" t="s">
        <v>548</v>
      </c>
      <c r="D3" s="163" t="s">
        <v>549</v>
      </c>
      <c r="E3" s="6" t="s">
        <v>550</v>
      </c>
    </row>
    <row r="4" spans="1:5" ht="30" x14ac:dyDescent="0.25">
      <c r="A4" s="2">
        <f t="shared" si="0"/>
        <v>3</v>
      </c>
      <c r="B4" s="163" t="s">
        <v>551</v>
      </c>
      <c r="C4" s="166" t="s">
        <v>552</v>
      </c>
      <c r="E4" s="6"/>
    </row>
    <row r="5" spans="1:5" s="141" customFormat="1" ht="60" x14ac:dyDescent="0.25">
      <c r="A5" s="2">
        <f t="shared" si="0"/>
        <v>4</v>
      </c>
      <c r="B5" s="163" t="s">
        <v>553</v>
      </c>
      <c r="C5" s="166" t="s">
        <v>554</v>
      </c>
      <c r="D5" s="169"/>
    </row>
    <row r="6" spans="1:5" x14ac:dyDescent="0.25">
      <c r="A6" s="2">
        <f t="shared" si="0"/>
        <v>5</v>
      </c>
      <c r="B6" s="163" t="s">
        <v>555</v>
      </c>
      <c r="C6" s="163" t="s">
        <v>556</v>
      </c>
      <c r="D6" s="163" t="s">
        <v>557</v>
      </c>
      <c r="E6" s="6" t="s">
        <v>558</v>
      </c>
    </row>
    <row r="7" spans="1:5" s="141" customFormat="1" ht="60" x14ac:dyDescent="0.25">
      <c r="A7" s="2">
        <f t="shared" si="0"/>
        <v>6</v>
      </c>
      <c r="B7" s="163" t="s">
        <v>559</v>
      </c>
      <c r="C7" s="166" t="s">
        <v>560</v>
      </c>
      <c r="D7" s="163" t="s">
        <v>561</v>
      </c>
      <c r="E7" s="162"/>
    </row>
    <row r="8" spans="1:5" s="141" customFormat="1" ht="15.75" customHeight="1" x14ac:dyDescent="0.25">
      <c r="A8" s="2">
        <f t="shared" si="0"/>
        <v>7</v>
      </c>
      <c r="B8" s="163" t="s">
        <v>562</v>
      </c>
      <c r="C8" s="163" t="s">
        <v>563</v>
      </c>
      <c r="D8" s="164" t="s">
        <v>564</v>
      </c>
      <c r="E8" s="162"/>
    </row>
    <row r="9" spans="1:5" s="141" customFormat="1" ht="15.75" customHeight="1" x14ac:dyDescent="0.25">
      <c r="A9" s="2">
        <f t="shared" si="0"/>
        <v>8</v>
      </c>
      <c r="B9" s="163" t="s">
        <v>565</v>
      </c>
      <c r="C9" s="163" t="s">
        <v>566</v>
      </c>
      <c r="D9" s="164"/>
      <c r="E9" s="162"/>
    </row>
    <row r="10" spans="1:5" ht="30" x14ac:dyDescent="0.25">
      <c r="A10" s="2">
        <f t="shared" si="0"/>
        <v>9</v>
      </c>
      <c r="B10" s="163" t="s">
        <v>567</v>
      </c>
      <c r="C10" s="163" t="s">
        <v>568</v>
      </c>
      <c r="D10" s="166" t="s">
        <v>569</v>
      </c>
      <c r="E10" s="6" t="s">
        <v>570</v>
      </c>
    </row>
    <row r="11" spans="1:5" x14ac:dyDescent="0.25">
      <c r="A11" s="2">
        <f t="shared" si="0"/>
        <v>10</v>
      </c>
      <c r="B11" s="163" t="s">
        <v>571</v>
      </c>
      <c r="C11" s="163" t="s">
        <v>572</v>
      </c>
      <c r="D11" s="166"/>
      <c r="E11" s="6"/>
    </row>
    <row r="12" spans="1:5" x14ac:dyDescent="0.25">
      <c r="A12" s="2">
        <f t="shared" si="0"/>
        <v>11</v>
      </c>
      <c r="B12" s="163" t="s">
        <v>573</v>
      </c>
      <c r="C12" s="163" t="s">
        <v>574</v>
      </c>
      <c r="D12" s="166"/>
      <c r="E12" s="6"/>
    </row>
    <row r="13" spans="1:5" x14ac:dyDescent="0.25">
      <c r="A13" s="2">
        <f t="shared" si="0"/>
        <v>12</v>
      </c>
      <c r="B13" s="163" t="s">
        <v>575</v>
      </c>
      <c r="C13" s="163" t="s">
        <v>576</v>
      </c>
      <c r="D13" s="166"/>
      <c r="E13" s="6"/>
    </row>
    <row r="14" spans="1:5" x14ac:dyDescent="0.25">
      <c r="A14" s="2">
        <f t="shared" si="0"/>
        <v>13</v>
      </c>
      <c r="B14" s="163" t="s">
        <v>577</v>
      </c>
      <c r="C14" s="163" t="s">
        <v>578</v>
      </c>
      <c r="D14" s="164" t="s">
        <v>579</v>
      </c>
      <c r="E14" s="6" t="s">
        <v>550</v>
      </c>
    </row>
    <row r="15" spans="1:5" x14ac:dyDescent="0.25">
      <c r="A15" s="2">
        <f t="shared" si="0"/>
        <v>14</v>
      </c>
      <c r="B15" s="163" t="s">
        <v>580</v>
      </c>
      <c r="C15" s="163" t="s">
        <v>581</v>
      </c>
      <c r="D15" s="164"/>
      <c r="E15" s="6"/>
    </row>
    <row r="16" spans="1:5" ht="30" x14ac:dyDescent="0.25">
      <c r="A16" s="2">
        <f t="shared" si="0"/>
        <v>15</v>
      </c>
      <c r="B16" s="163" t="s">
        <v>582</v>
      </c>
      <c r="C16" s="166" t="s">
        <v>583</v>
      </c>
      <c r="D16" s="164"/>
      <c r="E16" s="6"/>
    </row>
    <row r="17" spans="1:5" ht="30" x14ac:dyDescent="0.25">
      <c r="A17" s="2">
        <f t="shared" ref="A17:A25" si="1">A16+1</f>
        <v>16</v>
      </c>
      <c r="B17" s="163" t="s">
        <v>584</v>
      </c>
      <c r="C17" s="166" t="s">
        <v>583</v>
      </c>
      <c r="D17" s="163" t="s">
        <v>585</v>
      </c>
      <c r="E17" s="6"/>
    </row>
    <row r="18" spans="1:5" ht="30" x14ac:dyDescent="0.25">
      <c r="A18" s="2">
        <f>A17+1</f>
        <v>17</v>
      </c>
      <c r="B18" s="163" t="s">
        <v>586</v>
      </c>
      <c r="C18" s="166" t="s">
        <v>587</v>
      </c>
      <c r="E18" s="6"/>
    </row>
    <row r="19" spans="1:5" ht="165" hidden="1" x14ac:dyDescent="0.25">
      <c r="A19" s="2">
        <f>A18+1</f>
        <v>18</v>
      </c>
      <c r="B19" s="163" t="s">
        <v>588</v>
      </c>
      <c r="C19" s="166" t="s">
        <v>589</v>
      </c>
      <c r="D19" s="165" t="s">
        <v>590</v>
      </c>
      <c r="E19" s="6" t="s">
        <v>591</v>
      </c>
    </row>
    <row r="20" spans="1:5" x14ac:dyDescent="0.25">
      <c r="A20" s="2">
        <f>A19+1</f>
        <v>19</v>
      </c>
      <c r="B20" s="163" t="s">
        <v>592</v>
      </c>
      <c r="C20" s="166" t="s">
        <v>593</v>
      </c>
      <c r="D20" s="165"/>
      <c r="E20" s="6"/>
    </row>
    <row r="21" spans="1:5" x14ac:dyDescent="0.25">
      <c r="A21" s="2">
        <f>A20+1</f>
        <v>20</v>
      </c>
      <c r="B21" s="163" t="s">
        <v>594</v>
      </c>
      <c r="C21" s="166" t="s">
        <v>593</v>
      </c>
      <c r="D21" s="165"/>
      <c r="E21" s="6"/>
    </row>
    <row r="22" spans="1:5" ht="90" x14ac:dyDescent="0.25">
      <c r="A22" s="2">
        <f>A19+1</f>
        <v>19</v>
      </c>
      <c r="B22" s="163" t="s">
        <v>595</v>
      </c>
      <c r="C22" s="166" t="s">
        <v>596</v>
      </c>
      <c r="E22" s="6"/>
    </row>
    <row r="23" spans="1:5" ht="60" x14ac:dyDescent="0.25">
      <c r="A23" s="2">
        <f t="shared" si="1"/>
        <v>20</v>
      </c>
      <c r="B23" s="163" t="s">
        <v>597</v>
      </c>
      <c r="C23" s="166" t="s">
        <v>598</v>
      </c>
      <c r="E23" s="6"/>
    </row>
    <row r="24" spans="1:5" ht="30" x14ac:dyDescent="0.25">
      <c r="A24" s="2">
        <f t="shared" si="1"/>
        <v>21</v>
      </c>
      <c r="B24" s="163" t="s">
        <v>599</v>
      </c>
      <c r="C24" s="166" t="s">
        <v>600</v>
      </c>
      <c r="D24" s="163" t="s">
        <v>601</v>
      </c>
      <c r="E24" s="6"/>
    </row>
    <row r="25" spans="1:5" x14ac:dyDescent="0.25">
      <c r="A25" s="2">
        <f t="shared" si="1"/>
        <v>22</v>
      </c>
      <c r="B25" s="163" t="s">
        <v>602</v>
      </c>
      <c r="C25" s="163" t="s">
        <v>603</v>
      </c>
      <c r="D25" s="163" t="s">
        <v>604</v>
      </c>
      <c r="E25" s="6"/>
    </row>
    <row r="26" spans="1:5" x14ac:dyDescent="0.25">
      <c r="A26" s="2">
        <f t="shared" ref="A26:A43" si="2">A25+1</f>
        <v>23</v>
      </c>
      <c r="B26" s="163" t="s">
        <v>605</v>
      </c>
      <c r="C26" s="163" t="s">
        <v>606</v>
      </c>
      <c r="D26" s="163" t="s">
        <v>607</v>
      </c>
      <c r="E26" s="6"/>
    </row>
    <row r="27" spans="1:5" s="173" customFormat="1" x14ac:dyDescent="0.25">
      <c r="A27" s="2">
        <f t="shared" si="2"/>
        <v>24</v>
      </c>
      <c r="B27" s="174" t="s">
        <v>608</v>
      </c>
      <c r="C27" s="174" t="s">
        <v>609</v>
      </c>
      <c r="D27" s="174" t="s">
        <v>610</v>
      </c>
      <c r="E27" s="175"/>
    </row>
    <row r="28" spans="1:5" x14ac:dyDescent="0.25">
      <c r="A28" s="2">
        <f t="shared" si="2"/>
        <v>25</v>
      </c>
      <c r="B28" s="163" t="s">
        <v>611</v>
      </c>
      <c r="C28" s="163" t="s">
        <v>612</v>
      </c>
      <c r="D28" s="163" t="s">
        <v>613</v>
      </c>
      <c r="E28" s="6"/>
    </row>
    <row r="29" spans="1:5" ht="30" x14ac:dyDescent="0.25">
      <c r="A29" s="2">
        <f t="shared" si="2"/>
        <v>26</v>
      </c>
      <c r="B29" s="163" t="s">
        <v>614</v>
      </c>
      <c r="C29" s="166" t="s">
        <v>615</v>
      </c>
      <c r="D29" s="163" t="s">
        <v>616</v>
      </c>
      <c r="E29" s="6"/>
    </row>
    <row r="30" spans="1:5" ht="30" x14ac:dyDescent="0.25">
      <c r="A30" s="2">
        <f t="shared" si="2"/>
        <v>27</v>
      </c>
      <c r="B30" s="163" t="s">
        <v>617</v>
      </c>
      <c r="C30" s="166" t="s">
        <v>618</v>
      </c>
      <c r="D30" s="163" t="s">
        <v>616</v>
      </c>
      <c r="E30" s="6"/>
    </row>
    <row r="31" spans="1:5" x14ac:dyDescent="0.25">
      <c r="A31" s="2">
        <f t="shared" si="2"/>
        <v>28</v>
      </c>
      <c r="B31" s="163" t="s">
        <v>619</v>
      </c>
      <c r="C31" s="163" t="s">
        <v>620</v>
      </c>
      <c r="D31" s="163" t="s">
        <v>621</v>
      </c>
      <c r="E31" s="6"/>
    </row>
    <row r="32" spans="1:5" s="141" customFormat="1" ht="90" x14ac:dyDescent="0.25">
      <c r="A32" s="2">
        <f t="shared" si="2"/>
        <v>29</v>
      </c>
      <c r="B32" s="163" t="s">
        <v>622</v>
      </c>
      <c r="C32" s="166" t="s">
        <v>623</v>
      </c>
      <c r="D32" s="163" t="s">
        <v>624</v>
      </c>
      <c r="E32" s="162"/>
    </row>
    <row r="33" spans="1:5" s="141" customFormat="1" ht="60" x14ac:dyDescent="0.25">
      <c r="A33" s="2">
        <f t="shared" si="2"/>
        <v>30</v>
      </c>
      <c r="B33" s="163" t="s">
        <v>625</v>
      </c>
      <c r="C33" s="163" t="s">
        <v>626</v>
      </c>
      <c r="D33" s="166" t="s">
        <v>627</v>
      </c>
      <c r="E33" s="162"/>
    </row>
    <row r="34" spans="1:5" s="141" customFormat="1" ht="75" x14ac:dyDescent="0.25">
      <c r="A34" s="2">
        <f t="shared" si="2"/>
        <v>31</v>
      </c>
      <c r="B34" s="163" t="s">
        <v>628</v>
      </c>
      <c r="C34" s="163" t="s">
        <v>629</v>
      </c>
      <c r="D34" s="166" t="s">
        <v>630</v>
      </c>
      <c r="E34" s="162"/>
    </row>
    <row r="35" spans="1:5" s="141" customFormat="1" ht="90" x14ac:dyDescent="0.25">
      <c r="A35" s="2">
        <f t="shared" si="2"/>
        <v>32</v>
      </c>
      <c r="B35" s="163" t="s">
        <v>631</v>
      </c>
      <c r="C35" s="166" t="s">
        <v>632</v>
      </c>
      <c r="D35" s="166"/>
      <c r="E35" s="162"/>
    </row>
    <row r="36" spans="1:5" s="141" customFormat="1" ht="45" x14ac:dyDescent="0.25">
      <c r="A36" s="2">
        <f t="shared" si="2"/>
        <v>33</v>
      </c>
      <c r="B36" s="163" t="s">
        <v>633</v>
      </c>
      <c r="C36" s="163" t="s">
        <v>634</v>
      </c>
      <c r="D36" s="165" t="s">
        <v>635</v>
      </c>
      <c r="E36" s="162"/>
    </row>
    <row r="37" spans="1:5" s="141" customFormat="1" x14ac:dyDescent="0.25">
      <c r="A37" s="2">
        <f t="shared" si="2"/>
        <v>34</v>
      </c>
      <c r="B37" s="163" t="s">
        <v>636</v>
      </c>
      <c r="C37" s="163" t="s">
        <v>637</v>
      </c>
      <c r="D37" s="167"/>
      <c r="E37" s="162"/>
    </row>
    <row r="38" spans="1:5" s="141" customFormat="1" x14ac:dyDescent="0.25">
      <c r="A38" s="2">
        <f t="shared" si="2"/>
        <v>35</v>
      </c>
      <c r="B38" s="163" t="s">
        <v>638</v>
      </c>
      <c r="C38" s="163" t="s">
        <v>639</v>
      </c>
      <c r="D38" s="167"/>
      <c r="E38" s="162"/>
    </row>
    <row r="39" spans="1:5" s="141" customFormat="1" ht="195" x14ac:dyDescent="0.25">
      <c r="A39" s="2">
        <f t="shared" si="2"/>
        <v>36</v>
      </c>
      <c r="B39" s="163" t="s">
        <v>640</v>
      </c>
      <c r="C39" s="163"/>
      <c r="D39" s="165" t="s">
        <v>641</v>
      </c>
      <c r="E39" s="162"/>
    </row>
    <row r="40" spans="1:5" s="141" customFormat="1" ht="165" x14ac:dyDescent="0.25">
      <c r="A40" s="2">
        <f t="shared" si="2"/>
        <v>37</v>
      </c>
      <c r="B40" s="163" t="s">
        <v>642</v>
      </c>
      <c r="C40" s="163" t="s">
        <v>643</v>
      </c>
      <c r="D40" s="165" t="s">
        <v>644</v>
      </c>
      <c r="E40" s="162"/>
    </row>
    <row r="41" spans="1:5" s="141" customFormat="1" x14ac:dyDescent="0.25">
      <c r="A41" s="2">
        <f t="shared" si="2"/>
        <v>38</v>
      </c>
      <c r="B41" s="163" t="s">
        <v>645</v>
      </c>
      <c r="C41" s="163" t="s">
        <v>646</v>
      </c>
      <c r="D41" s="164" t="s">
        <v>647</v>
      </c>
      <c r="E41" s="162"/>
    </row>
    <row r="42" spans="1:5" x14ac:dyDescent="0.25">
      <c r="A42" s="2">
        <f t="shared" si="2"/>
        <v>39</v>
      </c>
      <c r="B42" s="163" t="s">
        <v>648</v>
      </c>
      <c r="C42" s="163" t="s">
        <v>649</v>
      </c>
      <c r="E42" s="6"/>
    </row>
    <row r="43" spans="1:5" x14ac:dyDescent="0.25">
      <c r="A43" s="2">
        <f t="shared" si="2"/>
        <v>40</v>
      </c>
      <c r="B43" s="163" t="s">
        <v>650</v>
      </c>
      <c r="C43" s="163" t="s">
        <v>649</v>
      </c>
      <c r="E43" s="6"/>
    </row>
    <row r="44" spans="1:5" s="141" customFormat="1" x14ac:dyDescent="0.25">
      <c r="A44" s="168"/>
      <c r="B44" s="163"/>
      <c r="C44" s="163"/>
      <c r="D44" s="167"/>
    </row>
    <row r="45" spans="1:5" s="141" customFormat="1" x14ac:dyDescent="0.25">
      <c r="A45" s="168"/>
      <c r="B45" s="163"/>
      <c r="C45" s="163"/>
      <c r="D45" s="167"/>
    </row>
    <row r="46" spans="1:5" s="141" customFormat="1" x14ac:dyDescent="0.25">
      <c r="A46" s="168"/>
      <c r="B46" s="163"/>
      <c r="C46" s="163"/>
      <c r="D46" s="167"/>
    </row>
    <row r="47" spans="1:5" s="141" customFormat="1" x14ac:dyDescent="0.25">
      <c r="A47" s="168"/>
      <c r="B47" s="163"/>
      <c r="C47" s="163"/>
      <c r="D47" s="167"/>
    </row>
    <row r="48" spans="1:5" s="141" customFormat="1" x14ac:dyDescent="0.25">
      <c r="A48" s="168"/>
      <c r="B48" s="163"/>
      <c r="C48" s="163"/>
      <c r="D48" s="167"/>
    </row>
    <row r="49" spans="1:4" s="141" customFormat="1" x14ac:dyDescent="0.25">
      <c r="A49" s="168"/>
      <c r="B49" s="163"/>
      <c r="C49" s="163"/>
      <c r="D49" s="167"/>
    </row>
    <row r="50" spans="1:4" s="44" customFormat="1" x14ac:dyDescent="0.25">
      <c r="A50" s="45"/>
      <c r="B50" s="163"/>
      <c r="C50" s="163"/>
      <c r="D50" s="170"/>
    </row>
    <row r="51" spans="1:4" s="141" customFormat="1" x14ac:dyDescent="0.25">
      <c r="A51" s="168"/>
      <c r="B51" s="163"/>
      <c r="C51" s="163"/>
      <c r="D51" s="167"/>
    </row>
    <row r="53" spans="1:4" s="141" customFormat="1" x14ac:dyDescent="0.25">
      <c r="A53" s="168"/>
      <c r="B53" s="163"/>
      <c r="C53" s="163"/>
      <c r="D53" s="167"/>
    </row>
    <row r="54" spans="1:4" s="141" customFormat="1" x14ac:dyDescent="0.25">
      <c r="A54" s="168"/>
      <c r="B54" s="163"/>
      <c r="C54" s="163"/>
      <c r="D54" s="167"/>
    </row>
    <row r="55" spans="1:4" x14ac:dyDescent="0.25">
      <c r="A55" s="45"/>
    </row>
    <row r="56" spans="1:4" x14ac:dyDescent="0.25">
      <c r="D56" s="166"/>
    </row>
    <row r="57" spans="1:4" s="141" customFormat="1" x14ac:dyDescent="0.25">
      <c r="A57" s="171"/>
      <c r="B57" s="163"/>
      <c r="C57" s="163"/>
      <c r="D57" s="169"/>
    </row>
    <row r="58" spans="1:4" s="141" customFormat="1" x14ac:dyDescent="0.25">
      <c r="A58" s="168"/>
      <c r="B58" s="163"/>
      <c r="C58" s="163"/>
      <c r="D58" s="169"/>
    </row>
    <row r="59" spans="1:4" s="141" customFormat="1" x14ac:dyDescent="0.25">
      <c r="A59" s="168"/>
      <c r="B59" s="163"/>
      <c r="C59" s="163"/>
      <c r="D59" s="172"/>
    </row>
    <row r="60" spans="1:4" x14ac:dyDescent="0.25">
      <c r="A60" s="168"/>
      <c r="D60" s="169"/>
    </row>
    <row r="61" spans="1:4" x14ac:dyDescent="0.25">
      <c r="D61" s="165"/>
    </row>
    <row r="62" spans="1:4" x14ac:dyDescent="0.25">
      <c r="D62" s="166"/>
    </row>
    <row r="64" spans="1:4" s="141" customFormat="1" x14ac:dyDescent="0.25">
      <c r="A64" s="168"/>
      <c r="B64" s="163"/>
      <c r="C64" s="163"/>
      <c r="D64" s="167"/>
    </row>
    <row r="80" spans="4:4" x14ac:dyDescent="0.25">
      <c r="D80" s="163" t="s">
        <v>651</v>
      </c>
    </row>
  </sheetData>
  <pageMargins left="0.7" right="0.7" top="0.75" bottom="0.75" header="0.3" footer="0.3"/>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291E-08B2-4C41-B72A-F5F8BF0F2608}">
  <dimension ref="A4:T32"/>
  <sheetViews>
    <sheetView zoomScale="70" zoomScaleNormal="70" workbookViewId="0">
      <selection activeCell="O8" sqref="O8"/>
    </sheetView>
  </sheetViews>
  <sheetFormatPr defaultRowHeight="15" x14ac:dyDescent="0.25"/>
  <cols>
    <col min="4" max="4" width="14.85546875" customWidth="1"/>
    <col min="5" max="5" width="18" customWidth="1"/>
    <col min="6" max="9" width="10.5703125" customWidth="1"/>
    <col min="10" max="10" width="18.85546875" customWidth="1"/>
    <col min="11" max="11" width="18" bestFit="1" customWidth="1"/>
    <col min="12" max="12" width="10.7109375" customWidth="1"/>
    <col min="13" max="13" width="10.42578125" bestFit="1" customWidth="1"/>
    <col min="14" max="14" width="16.5703125" bestFit="1" customWidth="1"/>
    <col min="15" max="15" width="42.85546875" bestFit="1" customWidth="1"/>
    <col min="16" max="17" width="41.42578125" customWidth="1"/>
    <col min="18" max="18" width="14.5703125" customWidth="1"/>
    <col min="19" max="19" width="24.140625" customWidth="1"/>
    <col min="20" max="20" width="24.28515625" customWidth="1"/>
  </cols>
  <sheetData>
    <row r="4" spans="1:20" ht="74.25" customHeight="1" x14ac:dyDescent="0.25">
      <c r="D4" s="190" t="s">
        <v>652</v>
      </c>
      <c r="E4" s="190" t="s">
        <v>653</v>
      </c>
      <c r="F4" s="190" t="s">
        <v>654</v>
      </c>
      <c r="G4" s="190" t="s">
        <v>655</v>
      </c>
      <c r="H4" s="190" t="s">
        <v>656</v>
      </c>
      <c r="I4" s="190" t="s">
        <v>657</v>
      </c>
      <c r="J4" s="190" t="s">
        <v>658</v>
      </c>
      <c r="K4" s="190" t="s">
        <v>659</v>
      </c>
      <c r="L4" s="190" t="s">
        <v>660</v>
      </c>
      <c r="M4" s="190" t="s">
        <v>661</v>
      </c>
      <c r="N4" s="190" t="s">
        <v>662</v>
      </c>
      <c r="O4" s="190" t="s">
        <v>663</v>
      </c>
      <c r="P4" s="190" t="s">
        <v>664</v>
      </c>
    </row>
    <row r="5" spans="1:20" ht="76.5" customHeight="1" x14ac:dyDescent="0.25">
      <c r="D5" s="28" t="s">
        <v>665</v>
      </c>
      <c r="E5" s="184" t="s">
        <v>666</v>
      </c>
      <c r="F5" s="28">
        <v>100</v>
      </c>
      <c r="G5" s="28">
        <v>100</v>
      </c>
      <c r="H5" s="28">
        <v>9000</v>
      </c>
      <c r="I5" s="28">
        <v>12</v>
      </c>
      <c r="J5" s="185" t="s">
        <v>667</v>
      </c>
      <c r="K5" s="184" t="s">
        <v>668</v>
      </c>
      <c r="L5" s="184" t="s">
        <v>669</v>
      </c>
      <c r="M5" s="28" t="s">
        <v>670</v>
      </c>
      <c r="N5" s="184" t="s">
        <v>671</v>
      </c>
      <c r="O5" s="28"/>
      <c r="P5" s="95" t="s">
        <v>672</v>
      </c>
      <c r="Q5" s="96"/>
    </row>
    <row r="6" spans="1:20" ht="83.25" customHeight="1" x14ac:dyDescent="0.25">
      <c r="D6" s="28" t="s">
        <v>673</v>
      </c>
      <c r="E6" s="184" t="s">
        <v>666</v>
      </c>
      <c r="F6" s="28">
        <v>60</v>
      </c>
      <c r="G6" s="28">
        <v>60</v>
      </c>
      <c r="H6" s="28">
        <v>9000</v>
      </c>
      <c r="I6" s="28">
        <v>10</v>
      </c>
      <c r="J6" s="185" t="s">
        <v>667</v>
      </c>
      <c r="K6" s="184" t="s">
        <v>668</v>
      </c>
      <c r="L6" s="184" t="s">
        <v>669</v>
      </c>
      <c r="M6" s="28" t="s">
        <v>670</v>
      </c>
      <c r="N6" s="184" t="s">
        <v>671</v>
      </c>
      <c r="O6" s="28"/>
      <c r="P6" s="95" t="s">
        <v>672</v>
      </c>
      <c r="Q6" s="96"/>
      <c r="R6" s="381"/>
      <c r="S6" s="381"/>
      <c r="T6" s="381"/>
    </row>
    <row r="7" spans="1:20" ht="66" customHeight="1" x14ac:dyDescent="0.25">
      <c r="D7" s="28" t="s">
        <v>674</v>
      </c>
      <c r="E7" s="184" t="s">
        <v>666</v>
      </c>
      <c r="F7" s="28">
        <v>100</v>
      </c>
      <c r="G7" s="28">
        <v>60</v>
      </c>
      <c r="H7" s="28">
        <v>9000</v>
      </c>
      <c r="I7" s="28">
        <v>12</v>
      </c>
      <c r="J7" s="185" t="s">
        <v>667</v>
      </c>
      <c r="K7" s="184" t="s">
        <v>668</v>
      </c>
      <c r="L7" s="184" t="s">
        <v>669</v>
      </c>
      <c r="M7" s="28" t="s">
        <v>670</v>
      </c>
      <c r="N7" s="184" t="s">
        <v>675</v>
      </c>
      <c r="O7" s="28"/>
      <c r="P7" s="95" t="s">
        <v>672</v>
      </c>
      <c r="Q7" s="96"/>
    </row>
    <row r="8" spans="1:20" ht="72.75" customHeight="1" x14ac:dyDescent="0.25">
      <c r="D8" s="28" t="s">
        <v>676</v>
      </c>
      <c r="E8" s="184" t="s">
        <v>666</v>
      </c>
      <c r="F8" s="28">
        <v>60</v>
      </c>
      <c r="G8" s="28">
        <v>100</v>
      </c>
      <c r="H8" s="28">
        <v>9000</v>
      </c>
      <c r="I8" s="28">
        <v>14</v>
      </c>
      <c r="J8" s="185" t="s">
        <v>667</v>
      </c>
      <c r="K8" s="184" t="s">
        <v>668</v>
      </c>
      <c r="L8" s="184" t="s">
        <v>669</v>
      </c>
      <c r="M8" s="28" t="s">
        <v>670</v>
      </c>
      <c r="N8" s="184" t="s">
        <v>675</v>
      </c>
      <c r="O8" s="28"/>
      <c r="P8" s="95" t="s">
        <v>672</v>
      </c>
      <c r="Q8" s="96"/>
      <c r="R8" s="352" t="s">
        <v>677</v>
      </c>
      <c r="S8" s="352"/>
      <c r="T8" s="352"/>
    </row>
    <row r="9" spans="1:20" ht="67.5" customHeight="1" x14ac:dyDescent="0.25">
      <c r="D9" s="28" t="s">
        <v>678</v>
      </c>
      <c r="E9" s="184" t="s">
        <v>679</v>
      </c>
      <c r="F9" s="28">
        <v>100</v>
      </c>
      <c r="G9" s="28">
        <v>100</v>
      </c>
      <c r="H9" s="28">
        <v>9000</v>
      </c>
      <c r="I9" s="28">
        <v>0</v>
      </c>
      <c r="J9" s="185" t="s">
        <v>667</v>
      </c>
      <c r="K9" s="184" t="s">
        <v>668</v>
      </c>
      <c r="L9" s="184" t="s">
        <v>669</v>
      </c>
      <c r="M9" s="28" t="s">
        <v>670</v>
      </c>
      <c r="N9" s="184" t="s">
        <v>675</v>
      </c>
      <c r="O9" s="28"/>
      <c r="P9" s="95" t="s">
        <v>672</v>
      </c>
      <c r="Q9" s="96"/>
      <c r="R9" s="1"/>
      <c r="S9" s="1" t="s">
        <v>680</v>
      </c>
      <c r="T9" s="1" t="s">
        <v>681</v>
      </c>
    </row>
    <row r="10" spans="1:20" ht="78.75" customHeight="1" x14ac:dyDescent="0.25">
      <c r="D10" s="28" t="s">
        <v>682</v>
      </c>
      <c r="E10" s="184" t="s">
        <v>666</v>
      </c>
      <c r="F10" s="28">
        <v>100</v>
      </c>
      <c r="G10" s="28">
        <v>100</v>
      </c>
      <c r="H10" s="28">
        <v>9000</v>
      </c>
      <c r="I10" s="28">
        <v>4</v>
      </c>
      <c r="J10" s="185" t="s">
        <v>667</v>
      </c>
      <c r="K10" s="184" t="s">
        <v>668</v>
      </c>
      <c r="L10" s="184" t="s">
        <v>669</v>
      </c>
      <c r="M10" s="28" t="s">
        <v>670</v>
      </c>
      <c r="N10" s="184" t="s">
        <v>675</v>
      </c>
      <c r="O10" s="29" t="s">
        <v>683</v>
      </c>
      <c r="P10" s="95" t="s">
        <v>672</v>
      </c>
      <c r="Q10" s="96"/>
      <c r="R10" s="1" t="s">
        <v>684</v>
      </c>
      <c r="S10" s="1" t="s">
        <v>685</v>
      </c>
      <c r="T10" s="1" t="s">
        <v>686</v>
      </c>
    </row>
    <row r="11" spans="1:20" ht="76.5" customHeight="1" x14ac:dyDescent="0.25">
      <c r="A11" t="s">
        <v>651</v>
      </c>
      <c r="D11" s="28" t="s">
        <v>687</v>
      </c>
      <c r="E11" s="184" t="s">
        <v>666</v>
      </c>
      <c r="F11" s="28">
        <v>100</v>
      </c>
      <c r="G11" s="28" t="s">
        <v>688</v>
      </c>
      <c r="H11" s="28">
        <v>9000</v>
      </c>
      <c r="I11" s="184">
        <v>7</v>
      </c>
      <c r="J11" s="185" t="s">
        <v>667</v>
      </c>
      <c r="K11" s="184" t="s">
        <v>668</v>
      </c>
      <c r="L11" s="184" t="s">
        <v>689</v>
      </c>
      <c r="M11" s="28" t="s">
        <v>670</v>
      </c>
      <c r="N11" s="184" t="s">
        <v>675</v>
      </c>
      <c r="O11" s="186" t="s">
        <v>690</v>
      </c>
      <c r="P11" s="95" t="s">
        <v>672</v>
      </c>
      <c r="Q11" s="96"/>
      <c r="R11" s="1" t="s">
        <v>691</v>
      </c>
      <c r="S11" s="1" t="s">
        <v>692</v>
      </c>
      <c r="T11" s="1" t="s">
        <v>693</v>
      </c>
    </row>
    <row r="12" spans="1:20" ht="69" customHeight="1" x14ac:dyDescent="0.25">
      <c r="D12" s="28" t="s">
        <v>694</v>
      </c>
      <c r="E12" s="184" t="s">
        <v>666</v>
      </c>
      <c r="F12" s="184">
        <v>60</v>
      </c>
      <c r="G12" s="184">
        <v>60</v>
      </c>
      <c r="H12" s="184">
        <v>9000</v>
      </c>
      <c r="I12" s="184">
        <v>6</v>
      </c>
      <c r="J12" s="185" t="s">
        <v>667</v>
      </c>
      <c r="K12" s="184" t="s">
        <v>668</v>
      </c>
      <c r="L12" s="184" t="s">
        <v>669</v>
      </c>
      <c r="M12" s="28" t="s">
        <v>670</v>
      </c>
      <c r="N12" s="184" t="s">
        <v>675</v>
      </c>
      <c r="O12" s="184" t="s">
        <v>695</v>
      </c>
      <c r="P12" s="95" t="s">
        <v>672</v>
      </c>
      <c r="Q12" s="96"/>
      <c r="R12" s="1" t="s">
        <v>696</v>
      </c>
      <c r="S12" s="282" t="s">
        <v>697</v>
      </c>
      <c r="T12" s="1" t="s">
        <v>698</v>
      </c>
    </row>
    <row r="13" spans="1:20" ht="85.5" customHeight="1" x14ac:dyDescent="0.25">
      <c r="A13" t="s">
        <v>651</v>
      </c>
      <c r="D13" s="28" t="s">
        <v>699</v>
      </c>
      <c r="E13" s="184" t="s">
        <v>666</v>
      </c>
      <c r="F13" s="28">
        <v>100</v>
      </c>
      <c r="G13" s="28">
        <v>100</v>
      </c>
      <c r="H13" s="28">
        <v>9000</v>
      </c>
      <c r="I13" s="184">
        <v>4</v>
      </c>
      <c r="J13" s="185" t="s">
        <v>667</v>
      </c>
      <c r="K13" s="184" t="s">
        <v>668</v>
      </c>
      <c r="L13" s="184" t="s">
        <v>669</v>
      </c>
      <c r="M13" s="28" t="s">
        <v>670</v>
      </c>
      <c r="N13" s="184" t="s">
        <v>675</v>
      </c>
      <c r="O13" s="184" t="s">
        <v>700</v>
      </c>
      <c r="P13" s="95" t="s">
        <v>672</v>
      </c>
      <c r="Q13" s="96"/>
      <c r="R13" s="1"/>
      <c r="S13" s="344" t="s">
        <v>701</v>
      </c>
      <c r="T13" s="344"/>
    </row>
    <row r="14" spans="1:20" ht="80.25" customHeight="1" x14ac:dyDescent="0.25">
      <c r="D14" s="28" t="s">
        <v>702</v>
      </c>
      <c r="E14" s="200" t="s">
        <v>666</v>
      </c>
      <c r="F14" s="200">
        <v>100</v>
      </c>
      <c r="G14" s="200" t="s">
        <v>688</v>
      </c>
      <c r="H14" s="200">
        <v>9000</v>
      </c>
      <c r="I14" s="200">
        <v>11</v>
      </c>
      <c r="J14" s="241" t="s">
        <v>703</v>
      </c>
      <c r="K14" s="200" t="s">
        <v>696</v>
      </c>
      <c r="L14" s="200" t="s">
        <v>689</v>
      </c>
      <c r="M14" s="200" t="s">
        <v>670</v>
      </c>
      <c r="N14" s="200" t="s">
        <v>671</v>
      </c>
      <c r="O14" s="201" t="s">
        <v>704</v>
      </c>
      <c r="P14" s="95" t="s">
        <v>705</v>
      </c>
      <c r="Q14" s="96"/>
    </row>
    <row r="15" spans="1:20" ht="88.5" customHeight="1" x14ac:dyDescent="0.25">
      <c r="D15" s="28" t="s">
        <v>706</v>
      </c>
      <c r="E15" s="184" t="s">
        <v>666</v>
      </c>
      <c r="F15" s="28">
        <v>100</v>
      </c>
      <c r="G15" s="28">
        <v>100</v>
      </c>
      <c r="H15" s="28">
        <v>9000</v>
      </c>
      <c r="I15" s="184">
        <v>6</v>
      </c>
      <c r="J15" s="185" t="s">
        <v>707</v>
      </c>
      <c r="K15" s="184" t="s">
        <v>668</v>
      </c>
      <c r="L15" s="184" t="s">
        <v>689</v>
      </c>
      <c r="M15" s="28" t="s">
        <v>670</v>
      </c>
      <c r="N15" s="184" t="s">
        <v>675</v>
      </c>
      <c r="O15" s="184"/>
      <c r="P15" s="95" t="s">
        <v>708</v>
      </c>
      <c r="Q15" s="96"/>
    </row>
    <row r="16" spans="1:20" ht="105.75" customHeight="1" x14ac:dyDescent="0.25">
      <c r="D16" s="28" t="s">
        <v>709</v>
      </c>
      <c r="E16" s="184" t="s">
        <v>666</v>
      </c>
      <c r="F16" s="184">
        <v>100</v>
      </c>
      <c r="G16" s="184" t="s">
        <v>688</v>
      </c>
      <c r="H16" s="184">
        <v>9000</v>
      </c>
      <c r="I16" s="184">
        <v>12</v>
      </c>
      <c r="J16" s="185" t="s">
        <v>667</v>
      </c>
      <c r="K16" s="184" t="s">
        <v>668</v>
      </c>
      <c r="L16" s="184" t="s">
        <v>689</v>
      </c>
      <c r="M16" s="186" t="s">
        <v>670</v>
      </c>
      <c r="N16" s="184" t="s">
        <v>671</v>
      </c>
      <c r="O16" s="186" t="s">
        <v>710</v>
      </c>
      <c r="P16" s="95" t="s">
        <v>672</v>
      </c>
      <c r="Q16" s="96"/>
    </row>
    <row r="17" spans="4:17" ht="93" customHeight="1" x14ac:dyDescent="0.25">
      <c r="D17" s="28" t="s">
        <v>711</v>
      </c>
      <c r="E17" s="184" t="s">
        <v>666</v>
      </c>
      <c r="F17" s="184">
        <v>100</v>
      </c>
      <c r="G17" s="184" t="s">
        <v>688</v>
      </c>
      <c r="H17" s="184">
        <v>9000</v>
      </c>
      <c r="I17" s="184">
        <v>12</v>
      </c>
      <c r="J17" s="185" t="s">
        <v>712</v>
      </c>
      <c r="K17" s="184" t="s">
        <v>668</v>
      </c>
      <c r="L17" s="184" t="s">
        <v>689</v>
      </c>
      <c r="M17" s="186" t="s">
        <v>670</v>
      </c>
      <c r="N17" s="184" t="s">
        <v>671</v>
      </c>
      <c r="O17" s="186" t="s">
        <v>713</v>
      </c>
      <c r="P17" s="95" t="s">
        <v>714</v>
      </c>
      <c r="Q17" s="96"/>
    </row>
    <row r="18" spans="4:17" ht="90.75" customHeight="1" x14ac:dyDescent="0.25">
      <c r="D18" s="28" t="s">
        <v>715</v>
      </c>
      <c r="E18" s="184" t="s">
        <v>666</v>
      </c>
      <c r="F18" s="184">
        <v>100</v>
      </c>
      <c r="G18" s="184" t="s">
        <v>688</v>
      </c>
      <c r="H18" s="184">
        <v>9000</v>
      </c>
      <c r="I18" s="184">
        <v>6</v>
      </c>
      <c r="J18" s="160" t="s">
        <v>716</v>
      </c>
      <c r="K18" s="184" t="s">
        <v>691</v>
      </c>
      <c r="L18" s="184" t="s">
        <v>669</v>
      </c>
      <c r="M18" s="186" t="s">
        <v>670</v>
      </c>
      <c r="N18" s="184" t="s">
        <v>671</v>
      </c>
      <c r="O18" s="186" t="s">
        <v>717</v>
      </c>
      <c r="P18" s="95" t="s">
        <v>718</v>
      </c>
      <c r="Q18" s="96"/>
    </row>
    <row r="19" spans="4:17" ht="102" customHeight="1" x14ac:dyDescent="0.25">
      <c r="D19" s="28" t="s">
        <v>719</v>
      </c>
      <c r="E19" s="28" t="s">
        <v>666</v>
      </c>
      <c r="F19" s="28">
        <v>100</v>
      </c>
      <c r="G19" s="28" t="s">
        <v>688</v>
      </c>
      <c r="H19" s="28">
        <v>9000</v>
      </c>
      <c r="I19" s="28">
        <v>10</v>
      </c>
      <c r="J19" s="198" t="s">
        <v>720</v>
      </c>
      <c r="K19" s="28" t="s">
        <v>668</v>
      </c>
      <c r="L19" s="28" t="s">
        <v>689</v>
      </c>
      <c r="M19" s="28" t="s">
        <v>670</v>
      </c>
      <c r="N19" s="28" t="s">
        <v>721</v>
      </c>
      <c r="O19" s="29" t="s">
        <v>722</v>
      </c>
      <c r="P19" s="95" t="s">
        <v>672</v>
      </c>
      <c r="Q19" s="96"/>
    </row>
    <row r="20" spans="4:17" ht="108" customHeight="1" x14ac:dyDescent="0.25">
      <c r="D20" s="28" t="s">
        <v>723</v>
      </c>
      <c r="E20" s="28" t="s">
        <v>666</v>
      </c>
      <c r="F20" s="28">
        <v>100</v>
      </c>
      <c r="G20" s="28" t="s">
        <v>688</v>
      </c>
      <c r="H20" s="28">
        <v>9000</v>
      </c>
      <c r="I20" s="28">
        <v>12</v>
      </c>
      <c r="J20" s="198" t="s">
        <v>720</v>
      </c>
      <c r="K20" s="28" t="s">
        <v>668</v>
      </c>
      <c r="L20" s="28" t="s">
        <v>689</v>
      </c>
      <c r="M20" s="28" t="s">
        <v>670</v>
      </c>
      <c r="N20" s="28" t="s">
        <v>721</v>
      </c>
      <c r="O20" s="29" t="s">
        <v>724</v>
      </c>
      <c r="P20" s="95" t="s">
        <v>672</v>
      </c>
      <c r="Q20" s="96"/>
    </row>
    <row r="21" spans="4:17" ht="108.75" customHeight="1" x14ac:dyDescent="0.25">
      <c r="D21" s="28" t="s">
        <v>725</v>
      </c>
      <c r="E21" s="28" t="s">
        <v>666</v>
      </c>
      <c r="F21" s="28">
        <v>100</v>
      </c>
      <c r="G21" s="28" t="s">
        <v>688</v>
      </c>
      <c r="H21" s="28">
        <v>9000</v>
      </c>
      <c r="I21" s="28">
        <v>10</v>
      </c>
      <c r="J21" s="198" t="s">
        <v>726</v>
      </c>
      <c r="K21" s="28" t="s">
        <v>691</v>
      </c>
      <c r="L21" s="28" t="s">
        <v>689</v>
      </c>
      <c r="M21" s="28" t="s">
        <v>670</v>
      </c>
      <c r="N21" s="28" t="s">
        <v>721</v>
      </c>
      <c r="O21" s="29" t="s">
        <v>727</v>
      </c>
      <c r="P21" s="231" t="s">
        <v>708</v>
      </c>
      <c r="Q21" s="281"/>
    </row>
    <row r="22" spans="4:17" ht="113.25" customHeight="1" x14ac:dyDescent="0.25">
      <c r="D22" s="28" t="s">
        <v>728</v>
      </c>
      <c r="E22" s="28" t="s">
        <v>666</v>
      </c>
      <c r="F22" s="28">
        <v>100</v>
      </c>
      <c r="G22" s="28" t="s">
        <v>688</v>
      </c>
      <c r="H22" s="28">
        <v>9000</v>
      </c>
      <c r="I22" s="28">
        <v>14</v>
      </c>
      <c r="J22" s="198" t="s">
        <v>729</v>
      </c>
      <c r="K22" s="28" t="s">
        <v>691</v>
      </c>
      <c r="L22" s="28" t="s">
        <v>689</v>
      </c>
      <c r="M22" s="28" t="s">
        <v>670</v>
      </c>
      <c r="N22" s="28" t="s">
        <v>721</v>
      </c>
      <c r="O22" s="29" t="s">
        <v>730</v>
      </c>
      <c r="P22" s="231">
        <v>7</v>
      </c>
      <c r="Q22" s="281"/>
    </row>
    <row r="23" spans="4:17" ht="91.5" x14ac:dyDescent="0.25">
      <c r="D23" s="28" t="s">
        <v>731</v>
      </c>
      <c r="E23" s="28" t="s">
        <v>666</v>
      </c>
      <c r="F23" s="28">
        <v>100</v>
      </c>
      <c r="G23" s="28" t="s">
        <v>688</v>
      </c>
      <c r="H23" s="28">
        <v>9000</v>
      </c>
      <c r="I23" s="28">
        <v>10</v>
      </c>
      <c r="J23" s="198" t="s">
        <v>720</v>
      </c>
      <c r="K23" s="28" t="s">
        <v>668</v>
      </c>
      <c r="L23" s="28" t="s">
        <v>689</v>
      </c>
      <c r="M23" s="28" t="s">
        <v>670</v>
      </c>
      <c r="N23" s="28" t="s">
        <v>721</v>
      </c>
      <c r="O23" s="29" t="s">
        <v>732</v>
      </c>
      <c r="P23" s="95" t="s">
        <v>672</v>
      </c>
      <c r="Q23" s="96"/>
    </row>
    <row r="24" spans="4:17" ht="180" x14ac:dyDescent="0.25">
      <c r="D24" s="28" t="s">
        <v>733</v>
      </c>
      <c r="E24" s="28" t="s">
        <v>666</v>
      </c>
      <c r="F24" s="28">
        <v>100</v>
      </c>
      <c r="G24" s="28" t="s">
        <v>688</v>
      </c>
      <c r="H24" s="28">
        <v>9000</v>
      </c>
      <c r="I24" s="28">
        <v>14</v>
      </c>
      <c r="J24" s="198" t="s">
        <v>729</v>
      </c>
      <c r="K24" s="28" t="s">
        <v>691</v>
      </c>
      <c r="L24" s="28" t="s">
        <v>689</v>
      </c>
      <c r="M24" s="28" t="s">
        <v>670</v>
      </c>
      <c r="N24" s="28" t="s">
        <v>721</v>
      </c>
      <c r="O24" s="29" t="s">
        <v>734</v>
      </c>
      <c r="P24" s="231">
        <v>7</v>
      </c>
      <c r="Q24" s="281"/>
    </row>
    <row r="25" spans="4:17" ht="75" x14ac:dyDescent="0.25">
      <c r="D25" s="187" t="s">
        <v>735</v>
      </c>
      <c r="E25" s="200" t="s">
        <v>666</v>
      </c>
      <c r="F25" s="200">
        <v>100</v>
      </c>
      <c r="G25" s="200" t="s">
        <v>688</v>
      </c>
      <c r="H25" s="200">
        <v>9000</v>
      </c>
      <c r="I25" s="200">
        <v>5</v>
      </c>
      <c r="J25" s="160" t="s">
        <v>736</v>
      </c>
      <c r="K25" s="200" t="s">
        <v>691</v>
      </c>
      <c r="L25" s="200" t="s">
        <v>689</v>
      </c>
      <c r="M25" s="201" t="s">
        <v>670</v>
      </c>
      <c r="N25" s="200" t="s">
        <v>671</v>
      </c>
      <c r="O25" s="201" t="s">
        <v>737</v>
      </c>
      <c r="P25" s="95" t="s">
        <v>718</v>
      </c>
      <c r="Q25" s="96"/>
    </row>
    <row r="26" spans="4:17" ht="75" x14ac:dyDescent="0.25">
      <c r="D26" s="200" t="s">
        <v>738</v>
      </c>
      <c r="E26" s="200" t="s">
        <v>666</v>
      </c>
      <c r="F26" s="200">
        <v>100</v>
      </c>
      <c r="G26" s="200" t="s">
        <v>688</v>
      </c>
      <c r="H26" s="200">
        <v>9000</v>
      </c>
      <c r="I26" s="200">
        <v>1</v>
      </c>
      <c r="J26" s="241" t="s">
        <v>739</v>
      </c>
      <c r="K26" s="200" t="s">
        <v>691</v>
      </c>
      <c r="L26" s="200" t="s">
        <v>689</v>
      </c>
      <c r="M26" s="28" t="s">
        <v>670</v>
      </c>
      <c r="N26" s="200" t="s">
        <v>671</v>
      </c>
      <c r="O26" s="200" t="s">
        <v>740</v>
      </c>
      <c r="P26" s="95" t="s">
        <v>672</v>
      </c>
      <c r="Q26" s="96"/>
    </row>
    <row r="27" spans="4:17" ht="75" x14ac:dyDescent="0.25">
      <c r="D27" s="28" t="s">
        <v>741</v>
      </c>
      <c r="E27" s="28" t="s">
        <v>666</v>
      </c>
      <c r="F27" s="28">
        <v>100</v>
      </c>
      <c r="G27" s="200" t="s">
        <v>688</v>
      </c>
      <c r="H27" s="28">
        <v>9000</v>
      </c>
      <c r="I27" s="28">
        <v>12</v>
      </c>
      <c r="J27" s="160" t="s">
        <v>742</v>
      </c>
      <c r="K27" s="28" t="s">
        <v>668</v>
      </c>
      <c r="L27" s="28" t="s">
        <v>689</v>
      </c>
      <c r="M27" s="28" t="s">
        <v>670</v>
      </c>
      <c r="N27" s="28" t="s">
        <v>671</v>
      </c>
      <c r="O27" s="28" t="s">
        <v>743</v>
      </c>
      <c r="P27" s="95" t="s">
        <v>718</v>
      </c>
      <c r="Q27" s="96"/>
    </row>
    <row r="28" spans="4:17" ht="75" x14ac:dyDescent="0.25">
      <c r="D28" s="184" t="s">
        <v>744</v>
      </c>
      <c r="E28" s="28" t="s">
        <v>666</v>
      </c>
      <c r="F28" s="28">
        <v>60</v>
      </c>
      <c r="G28" s="28" t="s">
        <v>688</v>
      </c>
      <c r="H28" s="28">
        <v>9000</v>
      </c>
      <c r="I28" s="28">
        <v>10</v>
      </c>
      <c r="J28" s="160" t="s">
        <v>745</v>
      </c>
      <c r="K28" s="28" t="s">
        <v>668</v>
      </c>
      <c r="L28" s="28" t="s">
        <v>689</v>
      </c>
      <c r="M28" s="28" t="s">
        <v>670</v>
      </c>
      <c r="N28" s="28" t="s">
        <v>671</v>
      </c>
      <c r="O28" s="247" t="s">
        <v>746</v>
      </c>
      <c r="P28" s="95" t="s">
        <v>672</v>
      </c>
      <c r="Q28" s="96"/>
    </row>
    <row r="29" spans="4:17" ht="60" x14ac:dyDescent="0.25">
      <c r="D29" s="184" t="s">
        <v>747</v>
      </c>
      <c r="E29" s="200" t="s">
        <v>666</v>
      </c>
      <c r="F29" s="200">
        <v>100</v>
      </c>
      <c r="G29" s="200" t="s">
        <v>688</v>
      </c>
      <c r="H29" s="200">
        <v>9000</v>
      </c>
      <c r="I29" s="200">
        <v>7</v>
      </c>
      <c r="J29" s="241" t="s">
        <v>667</v>
      </c>
      <c r="K29" s="200" t="s">
        <v>668</v>
      </c>
      <c r="L29" s="200" t="s">
        <v>689</v>
      </c>
      <c r="M29" s="201" t="s">
        <v>670</v>
      </c>
      <c r="N29" s="200" t="s">
        <v>671</v>
      </c>
      <c r="O29" s="201" t="s">
        <v>748</v>
      </c>
      <c r="P29" s="95" t="s">
        <v>672</v>
      </c>
      <c r="Q29" s="96"/>
    </row>
    <row r="30" spans="4:17" ht="75" x14ac:dyDescent="0.25">
      <c r="D30" s="187" t="s">
        <v>749</v>
      </c>
      <c r="E30" s="243" t="s">
        <v>666</v>
      </c>
      <c r="F30" s="243">
        <v>100</v>
      </c>
      <c r="G30" s="243" t="s">
        <v>688</v>
      </c>
      <c r="H30" s="243">
        <v>9000</v>
      </c>
      <c r="I30" s="243">
        <v>5</v>
      </c>
      <c r="J30" s="181" t="s">
        <v>736</v>
      </c>
      <c r="K30" s="243" t="s">
        <v>691</v>
      </c>
      <c r="L30" s="243" t="s">
        <v>689</v>
      </c>
      <c r="M30" s="245" t="s">
        <v>670</v>
      </c>
      <c r="N30" s="243" t="s">
        <v>671</v>
      </c>
      <c r="O30" s="245" t="s">
        <v>737</v>
      </c>
      <c r="P30" s="95" t="s">
        <v>718</v>
      </c>
      <c r="Q30" s="96"/>
    </row>
    <row r="31" spans="4:17" ht="60" x14ac:dyDescent="0.25">
      <c r="D31" s="184" t="s">
        <v>750</v>
      </c>
      <c r="E31" s="200" t="s">
        <v>666</v>
      </c>
      <c r="F31" s="200">
        <v>100</v>
      </c>
      <c r="G31" s="200" t="s">
        <v>688</v>
      </c>
      <c r="H31" s="200">
        <v>9000</v>
      </c>
      <c r="I31" s="200">
        <v>5</v>
      </c>
      <c r="J31" s="241" t="s">
        <v>751</v>
      </c>
      <c r="K31" s="200" t="s">
        <v>691</v>
      </c>
      <c r="L31" s="200" t="s">
        <v>689</v>
      </c>
      <c r="M31" s="201" t="s">
        <v>670</v>
      </c>
      <c r="N31" s="200" t="s">
        <v>671</v>
      </c>
      <c r="O31" s="201" t="s">
        <v>743</v>
      </c>
      <c r="P31" s="95" t="s">
        <v>718</v>
      </c>
      <c r="Q31" s="96"/>
    </row>
    <row r="32" spans="4:17" ht="60" x14ac:dyDescent="0.25">
      <c r="D32" s="184" t="s">
        <v>752</v>
      </c>
      <c r="E32" s="200" t="s">
        <v>666</v>
      </c>
      <c r="F32" s="200">
        <v>100</v>
      </c>
      <c r="G32" s="200" t="s">
        <v>688</v>
      </c>
      <c r="H32" s="200">
        <v>9000</v>
      </c>
      <c r="I32" s="200">
        <v>5</v>
      </c>
      <c r="J32" s="241" t="s">
        <v>753</v>
      </c>
      <c r="K32" s="200" t="s">
        <v>691</v>
      </c>
      <c r="L32" s="200" t="s">
        <v>689</v>
      </c>
      <c r="M32" s="201" t="s">
        <v>670</v>
      </c>
      <c r="N32" s="200" t="s">
        <v>671</v>
      </c>
      <c r="O32" s="201" t="s">
        <v>743</v>
      </c>
      <c r="P32" s="95" t="s">
        <v>718</v>
      </c>
      <c r="Q32" s="96"/>
    </row>
  </sheetData>
  <mergeCells count="3">
    <mergeCell ref="R6:T6"/>
    <mergeCell ref="R8:T8"/>
    <mergeCell ref="S13:T13"/>
  </mergeCells>
  <phoneticPr fontId="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D46F-A6AA-4E7E-A806-22403A7AB787}">
  <dimension ref="A1:I37"/>
  <sheetViews>
    <sheetView workbookViewId="0">
      <selection activeCell="C18" sqref="C18"/>
    </sheetView>
  </sheetViews>
  <sheetFormatPr defaultRowHeight="15" x14ac:dyDescent="0.25"/>
  <cols>
    <col min="2" max="2" width="57" customWidth="1"/>
    <col min="3" max="3" width="79" customWidth="1"/>
    <col min="4" max="4" width="108.85546875" customWidth="1"/>
    <col min="5" max="5" width="23.5703125" customWidth="1"/>
  </cols>
  <sheetData>
    <row r="1" spans="1:9" s="179" customFormat="1" ht="27.75" customHeight="1" x14ac:dyDescent="0.25">
      <c r="A1" s="224" t="s">
        <v>116</v>
      </c>
      <c r="B1" s="225" t="s">
        <v>17</v>
      </c>
      <c r="C1" s="225" t="s">
        <v>544</v>
      </c>
      <c r="D1" s="225" t="s">
        <v>2</v>
      </c>
      <c r="E1" s="224"/>
      <c r="F1" s="226"/>
      <c r="G1" s="226"/>
      <c r="H1" s="226"/>
      <c r="I1" s="226"/>
    </row>
    <row r="2" spans="1:9" x14ac:dyDescent="0.25">
      <c r="A2" s="28">
        <v>1</v>
      </c>
      <c r="B2" s="25" t="s">
        <v>754</v>
      </c>
      <c r="C2" s="25" t="s">
        <v>606</v>
      </c>
      <c r="D2" s="25" t="s">
        <v>607</v>
      </c>
      <c r="E2" s="1"/>
      <c r="F2" s="1"/>
      <c r="G2" s="1"/>
      <c r="H2" s="1"/>
      <c r="I2" s="1"/>
    </row>
    <row r="3" spans="1:9" x14ac:dyDescent="0.25">
      <c r="A3" s="28">
        <f t="shared" ref="A3" si="0">A2+1</f>
        <v>2</v>
      </c>
      <c r="B3" s="25" t="s">
        <v>611</v>
      </c>
      <c r="C3" s="25" t="s">
        <v>612</v>
      </c>
      <c r="D3" s="25" t="s">
        <v>613</v>
      </c>
      <c r="E3" s="1"/>
      <c r="F3" s="1"/>
      <c r="G3" s="1"/>
      <c r="H3" s="1"/>
      <c r="I3" s="1"/>
    </row>
    <row r="4" spans="1:9" ht="30" x14ac:dyDescent="0.25">
      <c r="A4" s="28">
        <v>3</v>
      </c>
      <c r="B4" s="25" t="s">
        <v>614</v>
      </c>
      <c r="C4" s="26" t="s">
        <v>615</v>
      </c>
      <c r="D4" s="25" t="s">
        <v>616</v>
      </c>
      <c r="E4" s="1"/>
      <c r="F4" s="1"/>
      <c r="G4" s="1"/>
      <c r="H4" s="1"/>
      <c r="I4" s="1"/>
    </row>
    <row r="5" spans="1:9" s="1" customFormat="1" ht="30" x14ac:dyDescent="0.25">
      <c r="A5" s="28">
        <v>4</v>
      </c>
      <c r="B5" s="25" t="s">
        <v>617</v>
      </c>
      <c r="C5" s="26" t="s">
        <v>618</v>
      </c>
      <c r="D5" s="25" t="s">
        <v>616</v>
      </c>
    </row>
    <row r="6" spans="1:9" s="1" customFormat="1" x14ac:dyDescent="0.25">
      <c r="A6" s="28">
        <v>5</v>
      </c>
      <c r="B6" s="25" t="s">
        <v>619</v>
      </c>
      <c r="C6" s="25" t="s">
        <v>620</v>
      </c>
      <c r="D6" s="25" t="s">
        <v>621</v>
      </c>
    </row>
    <row r="7" spans="1:9" s="1" customFormat="1" ht="113.25" customHeight="1" x14ac:dyDescent="0.25">
      <c r="A7" s="28">
        <v>6</v>
      </c>
      <c r="B7" s="25" t="s">
        <v>595</v>
      </c>
      <c r="C7" s="26" t="s">
        <v>596</v>
      </c>
      <c r="D7" s="25"/>
    </row>
    <row r="8" spans="1:9" s="1" customFormat="1" ht="43.5" customHeight="1" x14ac:dyDescent="0.25">
      <c r="A8" s="28">
        <v>7</v>
      </c>
      <c r="B8" s="25" t="s">
        <v>599</v>
      </c>
      <c r="C8" s="26" t="s">
        <v>600</v>
      </c>
      <c r="D8" s="25" t="s">
        <v>601</v>
      </c>
    </row>
    <row r="9" spans="1:9" s="1" customFormat="1" x14ac:dyDescent="0.25">
      <c r="A9" s="28">
        <v>8</v>
      </c>
      <c r="B9" s="25" t="s">
        <v>602</v>
      </c>
      <c r="C9" s="25" t="s">
        <v>603</v>
      </c>
      <c r="D9" s="25" t="s">
        <v>604</v>
      </c>
    </row>
    <row r="10" spans="1:9" s="1" customFormat="1" x14ac:dyDescent="0.25">
      <c r="A10" s="95">
        <v>9</v>
      </c>
      <c r="B10" s="1" t="s">
        <v>755</v>
      </c>
    </row>
    <row r="11" spans="1:9" s="1" customFormat="1" x14ac:dyDescent="0.25">
      <c r="A11" s="95">
        <v>10</v>
      </c>
      <c r="B11" s="1" t="s">
        <v>756</v>
      </c>
    </row>
    <row r="12" spans="1:9" s="143" customFormat="1" ht="75" x14ac:dyDescent="0.25">
      <c r="A12" s="28">
        <f t="shared" ref="A12:A16" si="1">A11+1</f>
        <v>11</v>
      </c>
      <c r="B12" s="25" t="s">
        <v>628</v>
      </c>
      <c r="C12" s="25" t="s">
        <v>757</v>
      </c>
      <c r="D12" s="26" t="s">
        <v>630</v>
      </c>
      <c r="E12" s="162"/>
    </row>
    <row r="13" spans="1:9" s="143" customFormat="1" ht="90" x14ac:dyDescent="0.25">
      <c r="A13" s="28">
        <f t="shared" si="1"/>
        <v>12</v>
      </c>
      <c r="B13" s="25" t="s">
        <v>631</v>
      </c>
      <c r="C13" s="26" t="s">
        <v>632</v>
      </c>
      <c r="D13" s="26"/>
      <c r="E13" s="162"/>
    </row>
    <row r="14" spans="1:9" s="1" customFormat="1" x14ac:dyDescent="0.25">
      <c r="A14" s="28">
        <f t="shared" si="1"/>
        <v>13</v>
      </c>
      <c r="B14" s="25" t="s">
        <v>758</v>
      </c>
      <c r="C14" s="25" t="s">
        <v>759</v>
      </c>
      <c r="D14" s="25"/>
      <c r="E14" s="6"/>
    </row>
    <row r="15" spans="1:9" s="143" customFormat="1" ht="25.5" customHeight="1" x14ac:dyDescent="0.25">
      <c r="A15" s="28">
        <f t="shared" si="1"/>
        <v>14</v>
      </c>
      <c r="B15" s="25" t="s">
        <v>636</v>
      </c>
      <c r="C15" s="25" t="s">
        <v>760</v>
      </c>
      <c r="D15" s="227"/>
      <c r="E15" s="162"/>
    </row>
    <row r="16" spans="1:9" ht="30" x14ac:dyDescent="0.25">
      <c r="A16" s="28">
        <f t="shared" si="1"/>
        <v>15</v>
      </c>
      <c r="B16" s="25" t="s">
        <v>567</v>
      </c>
      <c r="C16" s="25" t="s">
        <v>761</v>
      </c>
      <c r="D16" s="26" t="s">
        <v>569</v>
      </c>
      <c r="E16" s="6"/>
    </row>
    <row r="17" spans="1:4" x14ac:dyDescent="0.25">
      <c r="A17" s="95">
        <v>16</v>
      </c>
      <c r="B17" s="1" t="s">
        <v>762</v>
      </c>
      <c r="C17" s="1" t="s">
        <v>763</v>
      </c>
      <c r="D17" s="1"/>
    </row>
    <row r="18" spans="1:4" x14ac:dyDescent="0.25">
      <c r="A18" s="95">
        <v>17</v>
      </c>
      <c r="B18" s="1" t="s">
        <v>764</v>
      </c>
      <c r="C18" s="1"/>
      <c r="D18" s="1"/>
    </row>
    <row r="19" spans="1:4" x14ac:dyDescent="0.25">
      <c r="A19" s="95">
        <v>18</v>
      </c>
      <c r="B19" s="1" t="s">
        <v>765</v>
      </c>
      <c r="C19" s="1"/>
      <c r="D19" s="1"/>
    </row>
    <row r="20" spans="1:4" x14ac:dyDescent="0.25">
      <c r="A20" s="1"/>
      <c r="B20" s="1"/>
      <c r="C20" s="1"/>
      <c r="D20" s="1"/>
    </row>
    <row r="21" spans="1:4" x14ac:dyDescent="0.25">
      <c r="A21" s="1"/>
      <c r="B21" s="1"/>
      <c r="C21" s="1"/>
      <c r="D21" s="1"/>
    </row>
    <row r="22" spans="1:4" x14ac:dyDescent="0.25">
      <c r="A22" s="1"/>
      <c r="B22" s="1"/>
      <c r="C22" s="1"/>
      <c r="D22" s="1"/>
    </row>
    <row r="23" spans="1:4" x14ac:dyDescent="0.25">
      <c r="A23" s="1"/>
      <c r="B23" s="1"/>
      <c r="C23" s="1"/>
      <c r="D23" s="1"/>
    </row>
    <row r="24" spans="1:4" x14ac:dyDescent="0.25">
      <c r="A24" s="1"/>
      <c r="B24" s="1"/>
      <c r="C24" s="1"/>
      <c r="D24" s="1"/>
    </row>
    <row r="25" spans="1:4" x14ac:dyDescent="0.25">
      <c r="A25" s="1"/>
      <c r="B25" s="1"/>
      <c r="C25" s="1"/>
      <c r="D25" s="1"/>
    </row>
    <row r="26" spans="1:4" x14ac:dyDescent="0.25">
      <c r="A26" s="1"/>
      <c r="B26" s="1"/>
      <c r="C26" s="1"/>
      <c r="D26" s="1"/>
    </row>
    <row r="27" spans="1:4" x14ac:dyDescent="0.25">
      <c r="A27" s="1"/>
      <c r="B27" s="1"/>
      <c r="C27" s="1"/>
      <c r="D27" s="1"/>
    </row>
    <row r="28" spans="1:4" x14ac:dyDescent="0.25">
      <c r="A28" s="1"/>
      <c r="B28" s="1"/>
      <c r="C28" s="1"/>
      <c r="D28" s="1"/>
    </row>
    <row r="29" spans="1:4" x14ac:dyDescent="0.25">
      <c r="A29" s="1"/>
      <c r="B29" s="1"/>
      <c r="C29" s="1"/>
      <c r="D29" s="1"/>
    </row>
    <row r="30" spans="1:4" x14ac:dyDescent="0.25">
      <c r="A30" s="1"/>
      <c r="B30" s="1"/>
      <c r="C30" s="1"/>
      <c r="D30" s="1"/>
    </row>
    <row r="31" spans="1:4" x14ac:dyDescent="0.25">
      <c r="A31" s="1"/>
      <c r="B31" s="1"/>
      <c r="C31" s="1"/>
      <c r="D31" s="1"/>
    </row>
    <row r="32" spans="1:4" x14ac:dyDescent="0.25">
      <c r="A32" s="1"/>
      <c r="B32" s="1"/>
      <c r="C32" s="1"/>
      <c r="D32" s="1"/>
    </row>
    <row r="33" spans="1:4" x14ac:dyDescent="0.25">
      <c r="A33" s="1"/>
      <c r="B33" s="1"/>
      <c r="C33" s="1"/>
      <c r="D33" s="1"/>
    </row>
    <row r="34" spans="1:4" x14ac:dyDescent="0.25">
      <c r="A34" s="1"/>
      <c r="B34" s="1"/>
      <c r="C34" s="1"/>
      <c r="D34" s="1"/>
    </row>
    <row r="35" spans="1:4" x14ac:dyDescent="0.25">
      <c r="A35" s="1"/>
      <c r="B35" s="1"/>
      <c r="C35" s="1"/>
      <c r="D35" s="1"/>
    </row>
    <row r="36" spans="1:4" x14ac:dyDescent="0.25">
      <c r="A36" s="1"/>
      <c r="B36" s="1"/>
      <c r="C36" s="1"/>
      <c r="D36" s="1"/>
    </row>
    <row r="37" spans="1:4" x14ac:dyDescent="0.25">
      <c r="A37" s="1"/>
      <c r="B37" s="1"/>
      <c r="C37" s="1"/>
      <c r="D37" s="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DFD19-70E2-4CA9-B234-52AD39516B2E}">
  <dimension ref="A4:T63"/>
  <sheetViews>
    <sheetView topLeftCell="C57" zoomScale="66" zoomScaleNormal="66" workbookViewId="0">
      <selection activeCell="O28" sqref="O28"/>
    </sheetView>
  </sheetViews>
  <sheetFormatPr defaultRowHeight="15" x14ac:dyDescent="0.25"/>
  <cols>
    <col min="4" max="4" width="14.85546875" customWidth="1"/>
    <col min="5" max="5" width="16.28515625" bestFit="1" customWidth="1"/>
    <col min="6" max="9" width="10.5703125" customWidth="1"/>
    <col min="10" max="10" width="18.85546875" customWidth="1"/>
    <col min="11" max="11" width="18" bestFit="1" customWidth="1"/>
    <col min="12" max="12" width="10.7109375" customWidth="1"/>
    <col min="13" max="13" width="10.42578125" bestFit="1" customWidth="1"/>
    <col min="14" max="14" width="16.5703125" bestFit="1" customWidth="1"/>
    <col min="15" max="15" width="41.42578125" customWidth="1"/>
    <col min="16" max="16" width="27.7109375" customWidth="1"/>
    <col min="17" max="17" width="24.140625" customWidth="1"/>
    <col min="18" max="18" width="24.28515625" customWidth="1"/>
    <col min="19" max="19" width="21.42578125" customWidth="1"/>
    <col min="20" max="20" width="25.42578125" customWidth="1"/>
    <col min="16383" max="16383" width="9.140625" bestFit="1" customWidth="1"/>
  </cols>
  <sheetData>
    <row r="4" spans="1:16" ht="30" x14ac:dyDescent="0.25">
      <c r="D4" s="190" t="s">
        <v>652</v>
      </c>
      <c r="E4" s="190" t="s">
        <v>653</v>
      </c>
      <c r="F4" s="190" t="s">
        <v>654</v>
      </c>
      <c r="G4" s="190" t="s">
        <v>655</v>
      </c>
      <c r="H4" s="190" t="s">
        <v>656</v>
      </c>
      <c r="I4" s="190" t="s">
        <v>657</v>
      </c>
      <c r="J4" s="190" t="s">
        <v>658</v>
      </c>
      <c r="K4" s="190" t="s">
        <v>659</v>
      </c>
      <c r="L4" s="190" t="s">
        <v>660</v>
      </c>
      <c r="M4" s="190" t="s">
        <v>661</v>
      </c>
      <c r="N4" s="190" t="s">
        <v>662</v>
      </c>
      <c r="O4" s="190" t="s">
        <v>663</v>
      </c>
      <c r="P4" s="190" t="s">
        <v>664</v>
      </c>
    </row>
    <row r="5" spans="1:16" ht="60" x14ac:dyDescent="0.25">
      <c r="D5" s="28" t="s">
        <v>766</v>
      </c>
      <c r="E5" s="28" t="s">
        <v>666</v>
      </c>
      <c r="F5" s="28">
        <v>100</v>
      </c>
      <c r="G5" s="28">
        <v>100</v>
      </c>
      <c r="H5" s="28">
        <v>9000</v>
      </c>
      <c r="I5" s="28">
        <v>12</v>
      </c>
      <c r="J5" s="160" t="s">
        <v>667</v>
      </c>
      <c r="K5" s="28" t="s">
        <v>668</v>
      </c>
      <c r="L5" s="28" t="s">
        <v>669</v>
      </c>
      <c r="M5" s="28" t="s">
        <v>670</v>
      </c>
      <c r="N5" s="28" t="s">
        <v>671</v>
      </c>
      <c r="O5" s="28" t="s">
        <v>743</v>
      </c>
      <c r="P5" s="28" t="s">
        <v>672</v>
      </c>
    </row>
    <row r="6" spans="1:16" ht="60" customHeight="1" x14ac:dyDescent="0.25">
      <c r="D6" s="28" t="s">
        <v>767</v>
      </c>
      <c r="E6" s="28" t="s">
        <v>666</v>
      </c>
      <c r="F6" s="28">
        <v>60</v>
      </c>
      <c r="G6" s="28">
        <v>60</v>
      </c>
      <c r="H6" s="28">
        <v>9000</v>
      </c>
      <c r="I6" s="28">
        <v>10</v>
      </c>
      <c r="J6" s="160" t="s">
        <v>745</v>
      </c>
      <c r="K6" s="28" t="s">
        <v>668</v>
      </c>
      <c r="L6" s="28" t="s">
        <v>669</v>
      </c>
      <c r="M6" s="28" t="s">
        <v>670</v>
      </c>
      <c r="N6" s="28" t="s">
        <v>671</v>
      </c>
      <c r="O6" s="28" t="s">
        <v>743</v>
      </c>
      <c r="P6" s="28" t="s">
        <v>672</v>
      </c>
    </row>
    <row r="7" spans="1:16" ht="60" x14ac:dyDescent="0.25">
      <c r="D7" s="28" t="s">
        <v>768</v>
      </c>
      <c r="E7" s="28" t="s">
        <v>666</v>
      </c>
      <c r="F7" s="28">
        <v>100</v>
      </c>
      <c r="G7" s="28">
        <v>60</v>
      </c>
      <c r="H7" s="28">
        <v>9000</v>
      </c>
      <c r="I7" s="28">
        <v>15</v>
      </c>
      <c r="J7" s="160" t="s">
        <v>769</v>
      </c>
      <c r="K7" s="28" t="s">
        <v>696</v>
      </c>
      <c r="L7" s="28" t="s">
        <v>669</v>
      </c>
      <c r="M7" s="28" t="s">
        <v>670</v>
      </c>
      <c r="N7" s="28" t="s">
        <v>671</v>
      </c>
      <c r="O7" s="28" t="s">
        <v>743</v>
      </c>
      <c r="P7" s="28" t="s">
        <v>705</v>
      </c>
    </row>
    <row r="8" spans="1:16" ht="60" customHeight="1" x14ac:dyDescent="0.25">
      <c r="D8" s="28" t="s">
        <v>770</v>
      </c>
      <c r="E8" s="28" t="s">
        <v>771</v>
      </c>
      <c r="F8" s="28">
        <v>60</v>
      </c>
      <c r="G8" s="28">
        <v>100</v>
      </c>
      <c r="H8" s="28">
        <v>1500</v>
      </c>
      <c r="I8" s="28">
        <v>0</v>
      </c>
      <c r="J8" s="160" t="s">
        <v>772</v>
      </c>
      <c r="K8" s="28" t="s">
        <v>696</v>
      </c>
      <c r="L8" s="28" t="s">
        <v>669</v>
      </c>
      <c r="M8" s="28" t="s">
        <v>670</v>
      </c>
      <c r="N8" s="28" t="s">
        <v>671</v>
      </c>
      <c r="O8" s="28" t="s">
        <v>743</v>
      </c>
      <c r="P8" s="28">
        <v>9</v>
      </c>
    </row>
    <row r="9" spans="1:16" ht="60" x14ac:dyDescent="0.25">
      <c r="D9" s="28" t="s">
        <v>773</v>
      </c>
      <c r="E9" s="28" t="s">
        <v>666</v>
      </c>
      <c r="F9" s="28">
        <v>100</v>
      </c>
      <c r="G9" s="28">
        <v>100</v>
      </c>
      <c r="H9" s="28">
        <v>1500</v>
      </c>
      <c r="I9" s="28">
        <v>13</v>
      </c>
      <c r="J9" s="160" t="s">
        <v>774</v>
      </c>
      <c r="K9" s="28" t="s">
        <v>696</v>
      </c>
      <c r="L9" s="28" t="s">
        <v>669</v>
      </c>
      <c r="M9" s="28" t="s">
        <v>670</v>
      </c>
      <c r="N9" s="28" t="s">
        <v>671</v>
      </c>
      <c r="O9" s="28" t="s">
        <v>743</v>
      </c>
      <c r="P9" s="28" t="s">
        <v>714</v>
      </c>
    </row>
    <row r="10" spans="1:16" ht="60" x14ac:dyDescent="0.25">
      <c r="D10" s="28" t="s">
        <v>775</v>
      </c>
      <c r="E10" s="28" t="s">
        <v>666</v>
      </c>
      <c r="F10" s="28">
        <v>60</v>
      </c>
      <c r="G10" s="28">
        <v>100</v>
      </c>
      <c r="H10" s="28">
        <v>9000</v>
      </c>
      <c r="I10" s="28">
        <v>8</v>
      </c>
      <c r="J10" s="160" t="s">
        <v>776</v>
      </c>
      <c r="K10" s="28" t="s">
        <v>691</v>
      </c>
      <c r="L10" s="28" t="s">
        <v>669</v>
      </c>
      <c r="M10" s="28" t="s">
        <v>670</v>
      </c>
      <c r="N10" s="28" t="s">
        <v>671</v>
      </c>
      <c r="O10" s="29" t="s">
        <v>777</v>
      </c>
      <c r="P10" s="28" t="s">
        <v>778</v>
      </c>
    </row>
    <row r="11" spans="1:16" ht="60" x14ac:dyDescent="0.25">
      <c r="A11" t="s">
        <v>651</v>
      </c>
      <c r="D11" s="184" t="s">
        <v>779</v>
      </c>
      <c r="E11" s="184" t="s">
        <v>666</v>
      </c>
      <c r="F11" s="184">
        <v>100</v>
      </c>
      <c r="G11" s="184" t="s">
        <v>688</v>
      </c>
      <c r="H11" s="184">
        <v>9000</v>
      </c>
      <c r="I11" s="184">
        <v>5</v>
      </c>
      <c r="J11" s="185" t="s">
        <v>780</v>
      </c>
      <c r="K11" s="184" t="s">
        <v>691</v>
      </c>
      <c r="L11" s="184" t="s">
        <v>689</v>
      </c>
      <c r="M11" s="184" t="s">
        <v>670</v>
      </c>
      <c r="N11" s="184" t="s">
        <v>671</v>
      </c>
      <c r="O11" s="184" t="s">
        <v>743</v>
      </c>
      <c r="P11" s="28" t="s">
        <v>708</v>
      </c>
    </row>
    <row r="12" spans="1:16" ht="60" x14ac:dyDescent="0.25">
      <c r="D12" s="184" t="s">
        <v>781</v>
      </c>
      <c r="E12" s="184" t="s">
        <v>666</v>
      </c>
      <c r="F12" s="184">
        <v>60</v>
      </c>
      <c r="G12" s="184" t="s">
        <v>688</v>
      </c>
      <c r="H12" s="184">
        <v>9000</v>
      </c>
      <c r="I12" s="184">
        <v>0</v>
      </c>
      <c r="J12" s="185" t="s">
        <v>782</v>
      </c>
      <c r="K12" s="184" t="s">
        <v>696</v>
      </c>
      <c r="L12" s="184" t="s">
        <v>689</v>
      </c>
      <c r="M12" s="184" t="s">
        <v>670</v>
      </c>
      <c r="N12" s="184" t="s">
        <v>671</v>
      </c>
      <c r="O12" s="184" t="s">
        <v>743</v>
      </c>
      <c r="P12" s="28" t="s">
        <v>783</v>
      </c>
    </row>
    <row r="13" spans="1:16" ht="60" customHeight="1" x14ac:dyDescent="0.25">
      <c r="A13" t="s">
        <v>651</v>
      </c>
      <c r="D13" s="184" t="s">
        <v>784</v>
      </c>
      <c r="E13" s="184" t="s">
        <v>666</v>
      </c>
      <c r="F13" s="184">
        <v>100</v>
      </c>
      <c r="G13" s="184" t="s">
        <v>688</v>
      </c>
      <c r="H13" s="184">
        <v>1500</v>
      </c>
      <c r="I13" s="184">
        <v>14</v>
      </c>
      <c r="J13" s="185" t="s">
        <v>785</v>
      </c>
      <c r="K13" s="184" t="s">
        <v>691</v>
      </c>
      <c r="L13" s="184" t="s">
        <v>689</v>
      </c>
      <c r="M13" s="184" t="s">
        <v>786</v>
      </c>
      <c r="N13" s="184" t="s">
        <v>671</v>
      </c>
      <c r="O13" s="184" t="s">
        <v>743</v>
      </c>
      <c r="P13" s="28">
        <v>7</v>
      </c>
    </row>
    <row r="14" spans="1:16" ht="60" x14ac:dyDescent="0.25">
      <c r="D14" s="184" t="s">
        <v>787</v>
      </c>
      <c r="E14" s="184" t="s">
        <v>666</v>
      </c>
      <c r="F14" s="184">
        <v>60</v>
      </c>
      <c r="G14" s="184" t="s">
        <v>688</v>
      </c>
      <c r="H14" s="184">
        <v>9000</v>
      </c>
      <c r="I14" s="184">
        <v>3</v>
      </c>
      <c r="J14" s="185" t="s">
        <v>788</v>
      </c>
      <c r="K14" s="184" t="s">
        <v>696</v>
      </c>
      <c r="L14" s="184" t="s">
        <v>689</v>
      </c>
      <c r="M14" s="184" t="s">
        <v>786</v>
      </c>
      <c r="N14" s="184" t="s">
        <v>671</v>
      </c>
      <c r="O14" s="184" t="s">
        <v>743</v>
      </c>
      <c r="P14" s="28">
        <v>2</v>
      </c>
    </row>
    <row r="15" spans="1:16" ht="60" x14ac:dyDescent="0.25">
      <c r="D15" s="184" t="s">
        <v>789</v>
      </c>
      <c r="E15" s="184" t="s">
        <v>771</v>
      </c>
      <c r="F15" s="184">
        <v>100</v>
      </c>
      <c r="G15" s="184" t="s">
        <v>688</v>
      </c>
      <c r="H15" s="184">
        <v>9000</v>
      </c>
      <c r="I15" s="184">
        <v>0</v>
      </c>
      <c r="J15" s="185" t="s">
        <v>790</v>
      </c>
      <c r="K15" s="184" t="s">
        <v>696</v>
      </c>
      <c r="L15" s="184" t="s">
        <v>689</v>
      </c>
      <c r="M15" s="184" t="s">
        <v>786</v>
      </c>
      <c r="N15" s="184" t="s">
        <v>671</v>
      </c>
      <c r="O15" s="184" t="s">
        <v>743</v>
      </c>
      <c r="P15" s="28" t="s">
        <v>791</v>
      </c>
    </row>
    <row r="16" spans="1:16" ht="60" x14ac:dyDescent="0.25">
      <c r="D16" s="184" t="s">
        <v>792</v>
      </c>
      <c r="E16" s="184" t="s">
        <v>666</v>
      </c>
      <c r="F16" s="184">
        <v>100</v>
      </c>
      <c r="G16" s="184" t="s">
        <v>688</v>
      </c>
      <c r="H16" s="184">
        <v>9000</v>
      </c>
      <c r="I16" s="184">
        <v>1</v>
      </c>
      <c r="J16" s="185" t="s">
        <v>793</v>
      </c>
      <c r="K16" s="184" t="s">
        <v>691</v>
      </c>
      <c r="L16" s="184" t="s">
        <v>689</v>
      </c>
      <c r="M16" s="184" t="s">
        <v>786</v>
      </c>
      <c r="N16" s="184" t="s">
        <v>671</v>
      </c>
      <c r="O16" s="184" t="s">
        <v>740</v>
      </c>
      <c r="P16" s="28">
        <v>7</v>
      </c>
    </row>
    <row r="17" spans="4:16" ht="60" x14ac:dyDescent="0.25">
      <c r="D17" s="28" t="s">
        <v>794</v>
      </c>
      <c r="E17" s="28" t="s">
        <v>771</v>
      </c>
      <c r="F17" s="28">
        <v>100</v>
      </c>
      <c r="G17" s="28">
        <v>100</v>
      </c>
      <c r="H17" s="28">
        <v>9000</v>
      </c>
      <c r="I17" s="28">
        <v>0</v>
      </c>
      <c r="J17" s="160" t="s">
        <v>795</v>
      </c>
      <c r="K17" s="28" t="s">
        <v>696</v>
      </c>
      <c r="L17" s="28" t="s">
        <v>669</v>
      </c>
      <c r="M17" s="28" t="s">
        <v>786</v>
      </c>
      <c r="N17" s="28" t="s">
        <v>671</v>
      </c>
      <c r="O17" s="29" t="s">
        <v>796</v>
      </c>
      <c r="P17" s="28">
        <v>2</v>
      </c>
    </row>
    <row r="18" spans="4:16" ht="60" x14ac:dyDescent="0.25">
      <c r="D18" s="28" t="s">
        <v>797</v>
      </c>
      <c r="E18" s="28" t="s">
        <v>666</v>
      </c>
      <c r="F18" s="28">
        <v>60</v>
      </c>
      <c r="G18" s="28">
        <v>60</v>
      </c>
      <c r="H18" s="28">
        <v>1500</v>
      </c>
      <c r="I18" s="28">
        <v>9</v>
      </c>
      <c r="J18" s="160" t="s">
        <v>798</v>
      </c>
      <c r="K18" s="28" t="s">
        <v>696</v>
      </c>
      <c r="L18" s="28" t="s">
        <v>669</v>
      </c>
      <c r="M18" s="28" t="s">
        <v>786</v>
      </c>
      <c r="N18" s="28" t="s">
        <v>671</v>
      </c>
      <c r="O18" s="29" t="s">
        <v>799</v>
      </c>
      <c r="P18" s="28" t="s">
        <v>791</v>
      </c>
    </row>
    <row r="19" spans="4:16" ht="60" x14ac:dyDescent="0.25">
      <c r="D19" s="115" t="s">
        <v>800</v>
      </c>
      <c r="E19" s="115" t="s">
        <v>666</v>
      </c>
      <c r="F19" s="115">
        <v>100</v>
      </c>
      <c r="G19" s="115">
        <v>100</v>
      </c>
      <c r="H19" s="115">
        <v>1500</v>
      </c>
      <c r="I19" s="115">
        <v>2</v>
      </c>
      <c r="J19" s="181" t="s">
        <v>801</v>
      </c>
      <c r="K19" s="115" t="s">
        <v>691</v>
      </c>
      <c r="L19" s="115" t="s">
        <v>669</v>
      </c>
      <c r="M19" s="115" t="s">
        <v>670</v>
      </c>
      <c r="N19" s="115" t="s">
        <v>671</v>
      </c>
      <c r="O19" s="29" t="s">
        <v>802</v>
      </c>
      <c r="P19" s="28" t="s">
        <v>803</v>
      </c>
    </row>
    <row r="20" spans="4:16" ht="60" x14ac:dyDescent="0.25">
      <c r="D20" s="28" t="s">
        <v>804</v>
      </c>
      <c r="E20" s="28" t="s">
        <v>771</v>
      </c>
      <c r="F20" s="28">
        <v>60</v>
      </c>
      <c r="G20" s="28">
        <v>60</v>
      </c>
      <c r="H20" s="28">
        <v>9000</v>
      </c>
      <c r="I20" s="28">
        <v>0</v>
      </c>
      <c r="J20" s="160" t="s">
        <v>805</v>
      </c>
      <c r="K20" s="28" t="s">
        <v>691</v>
      </c>
      <c r="L20" s="28" t="s">
        <v>669</v>
      </c>
      <c r="M20" s="28" t="s">
        <v>670</v>
      </c>
      <c r="N20" s="28" t="s">
        <v>671</v>
      </c>
      <c r="O20" s="29" t="s">
        <v>806</v>
      </c>
      <c r="P20" s="28" t="s">
        <v>783</v>
      </c>
    </row>
    <row r="21" spans="4:16" ht="60" x14ac:dyDescent="0.25">
      <c r="D21" s="28" t="s">
        <v>807</v>
      </c>
      <c r="E21" s="28" t="s">
        <v>666</v>
      </c>
      <c r="F21" s="28">
        <v>100</v>
      </c>
      <c r="G21" s="28">
        <v>100</v>
      </c>
      <c r="H21" s="28">
        <v>9000</v>
      </c>
      <c r="I21" s="28">
        <v>4</v>
      </c>
      <c r="J21" s="160" t="s">
        <v>808</v>
      </c>
      <c r="K21" s="28" t="s">
        <v>691</v>
      </c>
      <c r="L21" s="28" t="s">
        <v>669</v>
      </c>
      <c r="M21" s="29" t="s">
        <v>670</v>
      </c>
      <c r="N21" s="28" t="s">
        <v>671</v>
      </c>
      <c r="O21" s="28" t="s">
        <v>809</v>
      </c>
      <c r="P21" s="28" t="s">
        <v>672</v>
      </c>
    </row>
    <row r="22" spans="4:16" ht="60" x14ac:dyDescent="0.25">
      <c r="D22" s="28" t="s">
        <v>810</v>
      </c>
      <c r="E22" s="28" t="s">
        <v>771</v>
      </c>
      <c r="F22" s="28">
        <v>100</v>
      </c>
      <c r="G22" s="28">
        <v>100</v>
      </c>
      <c r="H22" s="28">
        <v>1500</v>
      </c>
      <c r="I22" s="28">
        <v>0</v>
      </c>
      <c r="J22" s="160" t="s">
        <v>811</v>
      </c>
      <c r="K22" s="28" t="s">
        <v>691</v>
      </c>
      <c r="L22" s="28" t="s">
        <v>669</v>
      </c>
      <c r="M22" s="29" t="s">
        <v>670</v>
      </c>
      <c r="N22" s="28" t="s">
        <v>671</v>
      </c>
      <c r="O22" s="28" t="s">
        <v>812</v>
      </c>
      <c r="P22" s="28" t="s">
        <v>813</v>
      </c>
    </row>
    <row r="23" spans="4:16" ht="113.25" customHeight="1" x14ac:dyDescent="0.25">
      <c r="D23" s="184" t="s">
        <v>814</v>
      </c>
      <c r="E23" s="184" t="s">
        <v>666</v>
      </c>
      <c r="F23" s="184">
        <v>100</v>
      </c>
      <c r="G23" s="184" t="s">
        <v>688</v>
      </c>
      <c r="H23" s="184">
        <v>9000</v>
      </c>
      <c r="I23" s="184">
        <v>11</v>
      </c>
      <c r="J23" s="185" t="s">
        <v>703</v>
      </c>
      <c r="K23" s="184" t="s">
        <v>696</v>
      </c>
      <c r="L23" s="184" t="s">
        <v>689</v>
      </c>
      <c r="M23" s="184" t="s">
        <v>670</v>
      </c>
      <c r="N23" s="184" t="s">
        <v>671</v>
      </c>
      <c r="O23" s="186" t="s">
        <v>704</v>
      </c>
      <c r="P23" s="28" t="s">
        <v>705</v>
      </c>
    </row>
    <row r="24" spans="4:16" ht="60" x14ac:dyDescent="0.25">
      <c r="D24" s="184" t="s">
        <v>815</v>
      </c>
      <c r="E24" s="184" t="s">
        <v>666</v>
      </c>
      <c r="F24" s="184">
        <v>100</v>
      </c>
      <c r="G24" s="184" t="s">
        <v>688</v>
      </c>
      <c r="H24" s="184">
        <v>9000</v>
      </c>
      <c r="I24" s="184">
        <v>6</v>
      </c>
      <c r="J24" s="185" t="s">
        <v>816</v>
      </c>
      <c r="K24" s="184" t="s">
        <v>696</v>
      </c>
      <c r="L24" s="184" t="s">
        <v>689</v>
      </c>
      <c r="M24" s="186" t="s">
        <v>817</v>
      </c>
      <c r="N24" s="184" t="s">
        <v>671</v>
      </c>
      <c r="O24" s="186" t="s">
        <v>743</v>
      </c>
      <c r="P24" s="28" t="s">
        <v>818</v>
      </c>
    </row>
    <row r="25" spans="4:16" ht="80.25" customHeight="1" x14ac:dyDescent="0.25">
      <c r="D25" s="184" t="s">
        <v>819</v>
      </c>
      <c r="E25" s="184" t="s">
        <v>666</v>
      </c>
      <c r="F25" s="184">
        <v>100</v>
      </c>
      <c r="G25" s="184" t="s">
        <v>688</v>
      </c>
      <c r="H25" s="184">
        <v>9000</v>
      </c>
      <c r="I25" s="184">
        <v>13</v>
      </c>
      <c r="J25" s="185" t="s">
        <v>820</v>
      </c>
      <c r="K25" s="184" t="s">
        <v>696</v>
      </c>
      <c r="L25" s="184" t="s">
        <v>689</v>
      </c>
      <c r="M25" s="186" t="s">
        <v>817</v>
      </c>
      <c r="N25" s="184" t="s">
        <v>671</v>
      </c>
      <c r="O25" s="186" t="s">
        <v>743</v>
      </c>
      <c r="P25" s="28">
        <v>7</v>
      </c>
    </row>
    <row r="26" spans="4:16" ht="87.75" customHeight="1" x14ac:dyDescent="0.25">
      <c r="D26" s="187" t="s">
        <v>821</v>
      </c>
      <c r="E26" s="187" t="s">
        <v>666</v>
      </c>
      <c r="F26" s="187">
        <v>100</v>
      </c>
      <c r="G26" s="187" t="s">
        <v>688</v>
      </c>
      <c r="H26" s="187">
        <v>9000</v>
      </c>
      <c r="I26" s="187">
        <v>8</v>
      </c>
      <c r="J26" s="188" t="s">
        <v>822</v>
      </c>
      <c r="K26" s="187" t="s">
        <v>696</v>
      </c>
      <c r="L26" s="187" t="s">
        <v>689</v>
      </c>
      <c r="M26" s="189" t="s">
        <v>817</v>
      </c>
      <c r="N26" s="187" t="s">
        <v>671</v>
      </c>
      <c r="O26" s="186" t="s">
        <v>743</v>
      </c>
      <c r="P26" s="28">
        <v>2</v>
      </c>
    </row>
    <row r="27" spans="4:16" ht="69.75" customHeight="1" x14ac:dyDescent="0.25">
      <c r="D27" s="184" t="s">
        <v>823</v>
      </c>
      <c r="E27" s="184" t="s">
        <v>666</v>
      </c>
      <c r="F27" s="184">
        <v>60</v>
      </c>
      <c r="G27" s="184" t="s">
        <v>688</v>
      </c>
      <c r="H27" s="184">
        <v>9000</v>
      </c>
      <c r="I27" s="184">
        <v>12</v>
      </c>
      <c r="J27" s="185" t="s">
        <v>776</v>
      </c>
      <c r="K27" s="184" t="s">
        <v>691</v>
      </c>
      <c r="L27" s="184" t="s">
        <v>689</v>
      </c>
      <c r="M27" s="186" t="s">
        <v>670</v>
      </c>
      <c r="N27" s="184" t="s">
        <v>671</v>
      </c>
      <c r="O27" s="186" t="s">
        <v>824</v>
      </c>
      <c r="P27" s="28" t="s">
        <v>778</v>
      </c>
    </row>
    <row r="28" spans="4:16" ht="80.25" customHeight="1" x14ac:dyDescent="0.25">
      <c r="D28" s="184" t="s">
        <v>825</v>
      </c>
      <c r="E28" s="184" t="s">
        <v>666</v>
      </c>
      <c r="F28" s="184">
        <v>100</v>
      </c>
      <c r="G28" s="184" t="s">
        <v>688</v>
      </c>
      <c r="H28" s="184">
        <v>9000</v>
      </c>
      <c r="I28" s="184">
        <v>7</v>
      </c>
      <c r="J28" s="185" t="s">
        <v>667</v>
      </c>
      <c r="K28" s="184" t="s">
        <v>668</v>
      </c>
      <c r="L28" s="184" t="s">
        <v>689</v>
      </c>
      <c r="M28" s="186" t="s">
        <v>670</v>
      </c>
      <c r="N28" s="184" t="s">
        <v>671</v>
      </c>
      <c r="O28" s="186" t="s">
        <v>748</v>
      </c>
      <c r="P28" s="28" t="s">
        <v>672</v>
      </c>
    </row>
    <row r="34" spans="8:10" x14ac:dyDescent="0.25">
      <c r="H34" s="305" t="s">
        <v>826</v>
      </c>
      <c r="I34" s="305"/>
      <c r="J34" s="305"/>
    </row>
    <row r="36" spans="8:10" x14ac:dyDescent="0.25">
      <c r="H36" s="352" t="s">
        <v>677</v>
      </c>
      <c r="I36" s="352"/>
      <c r="J36" s="352"/>
    </row>
    <row r="37" spans="8:10" x14ac:dyDescent="0.25">
      <c r="H37" s="1"/>
      <c r="I37" s="1" t="s">
        <v>680</v>
      </c>
      <c r="J37" s="1" t="s">
        <v>681</v>
      </c>
    </row>
    <row r="38" spans="8:10" x14ac:dyDescent="0.25">
      <c r="H38" s="1" t="s">
        <v>684</v>
      </c>
      <c r="I38" s="5" t="s">
        <v>685</v>
      </c>
      <c r="J38" s="5" t="s">
        <v>686</v>
      </c>
    </row>
    <row r="39" spans="8:10" x14ac:dyDescent="0.25">
      <c r="H39" s="1" t="s">
        <v>691</v>
      </c>
      <c r="I39" s="1" t="s">
        <v>692</v>
      </c>
      <c r="J39" s="1" t="s">
        <v>693</v>
      </c>
    </row>
    <row r="40" spans="8:10" ht="37.15" customHeight="1" x14ac:dyDescent="0.25">
      <c r="H40" s="1" t="s">
        <v>696</v>
      </c>
      <c r="I40" s="191" t="s">
        <v>697</v>
      </c>
      <c r="J40" s="13" t="s">
        <v>698</v>
      </c>
    </row>
    <row r="41" spans="8:10" x14ac:dyDescent="0.25">
      <c r="H41" s="7"/>
      <c r="I41" s="344" t="s">
        <v>701</v>
      </c>
      <c r="J41" s="344"/>
    </row>
    <row r="50" spans="3:20" ht="30" x14ac:dyDescent="0.25">
      <c r="C50" s="190" t="s">
        <v>827</v>
      </c>
      <c r="D50" s="190" t="s">
        <v>652</v>
      </c>
      <c r="E50" s="190" t="s">
        <v>653</v>
      </c>
      <c r="F50" s="190" t="s">
        <v>654</v>
      </c>
      <c r="G50" s="190" t="s">
        <v>655</v>
      </c>
      <c r="H50" s="190" t="s">
        <v>656</v>
      </c>
      <c r="I50" s="190" t="s">
        <v>657</v>
      </c>
      <c r="J50" s="190" t="s">
        <v>658</v>
      </c>
      <c r="K50" s="190" t="s">
        <v>659</v>
      </c>
      <c r="L50" s="190" t="s">
        <v>660</v>
      </c>
      <c r="M50" s="190" t="s">
        <v>661</v>
      </c>
      <c r="N50" s="190" t="s">
        <v>662</v>
      </c>
      <c r="O50" s="190" t="s">
        <v>663</v>
      </c>
      <c r="P50" s="180" t="s">
        <v>828</v>
      </c>
      <c r="Q50" s="127" t="s">
        <v>829</v>
      </c>
      <c r="R50" s="127" t="s">
        <v>830</v>
      </c>
      <c r="S50" s="127" t="s">
        <v>831</v>
      </c>
      <c r="T50" s="1"/>
    </row>
    <row r="51" spans="3:20" ht="60" x14ac:dyDescent="0.25">
      <c r="C51" s="192">
        <v>1</v>
      </c>
      <c r="D51" s="192" t="s">
        <v>779</v>
      </c>
      <c r="E51" s="192" t="s">
        <v>666</v>
      </c>
      <c r="F51" s="192">
        <v>100</v>
      </c>
      <c r="G51" s="192" t="s">
        <v>688</v>
      </c>
      <c r="H51" s="192">
        <v>9000</v>
      </c>
      <c r="I51" s="192">
        <v>5</v>
      </c>
      <c r="J51" s="193" t="s">
        <v>780</v>
      </c>
      <c r="K51" s="192" t="s">
        <v>691</v>
      </c>
      <c r="L51" s="192" t="s">
        <v>689</v>
      </c>
      <c r="M51" s="192" t="s">
        <v>670</v>
      </c>
      <c r="N51" s="192" t="s">
        <v>671</v>
      </c>
      <c r="O51" s="192" t="s">
        <v>743</v>
      </c>
      <c r="P51" s="1"/>
      <c r="Q51" s="183" t="s">
        <v>832</v>
      </c>
      <c r="R51" s="1"/>
      <c r="S51" s="183" t="s">
        <v>832</v>
      </c>
      <c r="T51" s="1"/>
    </row>
    <row r="52" spans="3:20" ht="60" x14ac:dyDescent="0.25">
      <c r="C52" s="28">
        <v>2</v>
      </c>
      <c r="D52" s="184" t="s">
        <v>781</v>
      </c>
      <c r="E52" s="184" t="s">
        <v>666</v>
      </c>
      <c r="F52" s="184">
        <v>60</v>
      </c>
      <c r="G52" s="184" t="s">
        <v>688</v>
      </c>
      <c r="H52" s="184">
        <v>9000</v>
      </c>
      <c r="I52" s="184">
        <v>0</v>
      </c>
      <c r="J52" s="185" t="s">
        <v>782</v>
      </c>
      <c r="K52" s="184" t="s">
        <v>696</v>
      </c>
      <c r="L52" s="184" t="s">
        <v>689</v>
      </c>
      <c r="M52" s="184" t="s">
        <v>670</v>
      </c>
      <c r="N52" s="184" t="s">
        <v>671</v>
      </c>
      <c r="O52" s="184" t="s">
        <v>743</v>
      </c>
      <c r="P52" s="1"/>
      <c r="Q52" s="183" t="s">
        <v>832</v>
      </c>
      <c r="R52" s="1"/>
      <c r="S52" s="1"/>
      <c r="T52" s="1"/>
    </row>
    <row r="53" spans="3:20" ht="60" x14ac:dyDescent="0.25">
      <c r="C53" s="28">
        <v>3</v>
      </c>
      <c r="D53" s="184" t="s">
        <v>784</v>
      </c>
      <c r="E53" s="184" t="s">
        <v>666</v>
      </c>
      <c r="F53" s="184">
        <v>100</v>
      </c>
      <c r="G53" s="184" t="s">
        <v>688</v>
      </c>
      <c r="H53" s="184">
        <v>1500</v>
      </c>
      <c r="I53" s="184">
        <v>14</v>
      </c>
      <c r="J53" s="185" t="s">
        <v>785</v>
      </c>
      <c r="K53" s="184" t="s">
        <v>691</v>
      </c>
      <c r="L53" s="184" t="s">
        <v>689</v>
      </c>
      <c r="M53" s="184" t="s">
        <v>786</v>
      </c>
      <c r="N53" s="184" t="s">
        <v>671</v>
      </c>
      <c r="O53" s="184" t="s">
        <v>743</v>
      </c>
      <c r="P53" s="182" t="s">
        <v>833</v>
      </c>
      <c r="Q53" s="183" t="s">
        <v>832</v>
      </c>
      <c r="R53" s="1"/>
      <c r="S53" s="1"/>
      <c r="T53" s="1"/>
    </row>
    <row r="54" spans="3:20" ht="60" x14ac:dyDescent="0.25">
      <c r="C54" s="28">
        <v>4</v>
      </c>
      <c r="D54" s="184" t="s">
        <v>787</v>
      </c>
      <c r="E54" s="184" t="s">
        <v>666</v>
      </c>
      <c r="F54" s="184">
        <v>60</v>
      </c>
      <c r="G54" s="184" t="s">
        <v>688</v>
      </c>
      <c r="H54" s="184">
        <v>9000</v>
      </c>
      <c r="I54" s="184">
        <v>3</v>
      </c>
      <c r="J54" s="185" t="s">
        <v>788</v>
      </c>
      <c r="K54" s="184" t="s">
        <v>696</v>
      </c>
      <c r="L54" s="184" t="s">
        <v>689</v>
      </c>
      <c r="M54" s="184" t="s">
        <v>786</v>
      </c>
      <c r="N54" s="184" t="s">
        <v>671</v>
      </c>
      <c r="O54" s="184" t="s">
        <v>743</v>
      </c>
      <c r="P54" s="1"/>
      <c r="Q54" s="183" t="s">
        <v>832</v>
      </c>
      <c r="R54" s="1"/>
      <c r="S54" s="1"/>
      <c r="T54" s="1"/>
    </row>
    <row r="55" spans="3:20" ht="60" x14ac:dyDescent="0.25">
      <c r="C55" s="28">
        <v>5</v>
      </c>
      <c r="D55" s="184" t="s">
        <v>789</v>
      </c>
      <c r="E55" s="184" t="s">
        <v>771</v>
      </c>
      <c r="F55" s="184">
        <v>100</v>
      </c>
      <c r="G55" s="184" t="s">
        <v>688</v>
      </c>
      <c r="H55" s="184">
        <v>9000</v>
      </c>
      <c r="I55" s="184">
        <v>0</v>
      </c>
      <c r="J55" s="185" t="s">
        <v>790</v>
      </c>
      <c r="K55" s="184" t="s">
        <v>696</v>
      </c>
      <c r="L55" s="184" t="s">
        <v>689</v>
      </c>
      <c r="M55" s="184" t="s">
        <v>786</v>
      </c>
      <c r="N55" s="184" t="s">
        <v>671</v>
      </c>
      <c r="O55" s="184" t="s">
        <v>743</v>
      </c>
      <c r="P55" s="1"/>
      <c r="Q55" s="1"/>
      <c r="R55" s="1"/>
      <c r="S55" s="183" t="s">
        <v>834</v>
      </c>
      <c r="T55" s="1"/>
    </row>
    <row r="56" spans="3:20" ht="60" x14ac:dyDescent="0.25">
      <c r="C56" s="28">
        <v>6</v>
      </c>
      <c r="D56" s="184" t="s">
        <v>792</v>
      </c>
      <c r="E56" s="184" t="s">
        <v>666</v>
      </c>
      <c r="F56" s="184">
        <v>100</v>
      </c>
      <c r="G56" s="184" t="s">
        <v>688</v>
      </c>
      <c r="H56" s="184">
        <v>9000</v>
      </c>
      <c r="I56" s="184">
        <v>1</v>
      </c>
      <c r="J56" s="185" t="s">
        <v>793</v>
      </c>
      <c r="K56" s="184" t="s">
        <v>691</v>
      </c>
      <c r="L56" s="184" t="s">
        <v>689</v>
      </c>
      <c r="M56" s="184" t="s">
        <v>786</v>
      </c>
      <c r="N56" s="184" t="s">
        <v>671</v>
      </c>
      <c r="O56" s="184" t="s">
        <v>740</v>
      </c>
      <c r="P56" s="1"/>
      <c r="Q56" s="1"/>
      <c r="R56" s="1"/>
      <c r="S56" s="183" t="s">
        <v>834</v>
      </c>
      <c r="T56" s="1"/>
    </row>
    <row r="57" spans="3:20" ht="60" x14ac:dyDescent="0.25">
      <c r="C57" s="28">
        <v>7</v>
      </c>
      <c r="D57" s="184" t="s">
        <v>814</v>
      </c>
      <c r="E57" s="184" t="s">
        <v>666</v>
      </c>
      <c r="F57" s="184">
        <v>100</v>
      </c>
      <c r="G57" s="184" t="s">
        <v>688</v>
      </c>
      <c r="H57" s="184">
        <v>9000</v>
      </c>
      <c r="I57" s="184">
        <v>11</v>
      </c>
      <c r="J57" s="185" t="s">
        <v>703</v>
      </c>
      <c r="K57" s="184" t="s">
        <v>696</v>
      </c>
      <c r="L57" s="184" t="s">
        <v>689</v>
      </c>
      <c r="M57" s="184" t="s">
        <v>670</v>
      </c>
      <c r="N57" s="184" t="s">
        <v>671</v>
      </c>
      <c r="O57" s="186" t="s">
        <v>704</v>
      </c>
      <c r="P57" s="183" t="s">
        <v>835</v>
      </c>
      <c r="Q57" s="183" t="s">
        <v>832</v>
      </c>
      <c r="S57" s="183" t="s">
        <v>834</v>
      </c>
      <c r="T57" s="1"/>
    </row>
    <row r="58" spans="3:20" ht="60" x14ac:dyDescent="0.25">
      <c r="C58" s="28">
        <v>8</v>
      </c>
      <c r="D58" s="184" t="s">
        <v>815</v>
      </c>
      <c r="E58" s="184" t="s">
        <v>666</v>
      </c>
      <c r="F58" s="184">
        <v>100</v>
      </c>
      <c r="G58" s="184" t="s">
        <v>688</v>
      </c>
      <c r="H58" s="184">
        <v>9000</v>
      </c>
      <c r="I58" s="184">
        <v>6</v>
      </c>
      <c r="J58" s="185" t="s">
        <v>816</v>
      </c>
      <c r="K58" s="184" t="s">
        <v>696</v>
      </c>
      <c r="L58" s="184" t="s">
        <v>689</v>
      </c>
      <c r="M58" s="186" t="s">
        <v>817</v>
      </c>
      <c r="N58" s="184" t="s">
        <v>671</v>
      </c>
      <c r="O58" s="186" t="s">
        <v>743</v>
      </c>
      <c r="P58" s="1"/>
      <c r="Q58" s="1"/>
      <c r="R58" s="1"/>
      <c r="S58" s="1"/>
      <c r="T58" s="1"/>
    </row>
    <row r="59" spans="3:20" ht="75" x14ac:dyDescent="0.25">
      <c r="C59" s="28">
        <v>9</v>
      </c>
      <c r="D59" s="184" t="s">
        <v>819</v>
      </c>
      <c r="E59" s="184" t="s">
        <v>666</v>
      </c>
      <c r="F59" s="184">
        <v>100</v>
      </c>
      <c r="G59" s="184" t="s">
        <v>688</v>
      </c>
      <c r="H59" s="184">
        <v>9000</v>
      </c>
      <c r="I59" s="184">
        <v>13</v>
      </c>
      <c r="J59" s="185" t="s">
        <v>820</v>
      </c>
      <c r="K59" s="184" t="s">
        <v>696</v>
      </c>
      <c r="L59" s="184" t="s">
        <v>689</v>
      </c>
      <c r="M59" s="186" t="s">
        <v>817</v>
      </c>
      <c r="N59" s="184" t="s">
        <v>671</v>
      </c>
      <c r="O59" s="186" t="s">
        <v>743</v>
      </c>
      <c r="P59" s="1"/>
      <c r="Q59" s="1"/>
      <c r="R59" s="1"/>
      <c r="S59" s="1"/>
      <c r="T59" s="1"/>
    </row>
    <row r="60" spans="3:20" ht="75" x14ac:dyDescent="0.25">
      <c r="C60" s="115">
        <v>10</v>
      </c>
      <c r="D60" s="187" t="s">
        <v>821</v>
      </c>
      <c r="E60" s="187" t="s">
        <v>666</v>
      </c>
      <c r="F60" s="187">
        <v>100</v>
      </c>
      <c r="G60" s="187" t="s">
        <v>688</v>
      </c>
      <c r="H60" s="187">
        <v>9000</v>
      </c>
      <c r="I60" s="187">
        <v>8</v>
      </c>
      <c r="J60" s="188" t="s">
        <v>822</v>
      </c>
      <c r="K60" s="187" t="s">
        <v>696</v>
      </c>
      <c r="L60" s="187" t="s">
        <v>689</v>
      </c>
      <c r="M60" s="189" t="s">
        <v>817</v>
      </c>
      <c r="N60" s="187" t="s">
        <v>671</v>
      </c>
      <c r="O60" s="189" t="s">
        <v>743</v>
      </c>
      <c r="P60" s="1"/>
      <c r="Q60" s="1"/>
      <c r="R60" s="1"/>
      <c r="S60" s="1"/>
      <c r="T60" s="1"/>
    </row>
    <row r="61" spans="3:20" ht="60" x14ac:dyDescent="0.25">
      <c r="C61" s="192">
        <v>11</v>
      </c>
      <c r="D61" s="192" t="s">
        <v>823</v>
      </c>
      <c r="E61" s="195" t="s">
        <v>666</v>
      </c>
      <c r="F61" s="192">
        <v>60</v>
      </c>
      <c r="G61" s="192" t="s">
        <v>688</v>
      </c>
      <c r="H61" s="192">
        <v>9000</v>
      </c>
      <c r="I61" s="192">
        <v>12</v>
      </c>
      <c r="J61" s="193" t="s">
        <v>776</v>
      </c>
      <c r="K61" s="192" t="s">
        <v>691</v>
      </c>
      <c r="L61" s="192" t="s">
        <v>689</v>
      </c>
      <c r="M61" s="194" t="s">
        <v>670</v>
      </c>
      <c r="N61" s="192" t="s">
        <v>671</v>
      </c>
      <c r="O61" s="194" t="s">
        <v>824</v>
      </c>
      <c r="P61" s="1"/>
      <c r="Q61" s="1"/>
      <c r="R61" s="1"/>
      <c r="S61" s="1"/>
      <c r="T61" s="1"/>
    </row>
    <row r="62" spans="3:20" ht="60" x14ac:dyDescent="0.25">
      <c r="C62" s="192">
        <v>12</v>
      </c>
      <c r="D62" s="192" t="s">
        <v>825</v>
      </c>
      <c r="E62" s="195" t="s">
        <v>666</v>
      </c>
      <c r="F62" s="192">
        <v>100</v>
      </c>
      <c r="G62" s="192" t="s">
        <v>688</v>
      </c>
      <c r="H62" s="192">
        <v>9000</v>
      </c>
      <c r="I62" s="192">
        <v>7</v>
      </c>
      <c r="J62" s="193" t="s">
        <v>667</v>
      </c>
      <c r="K62" s="192" t="s">
        <v>668</v>
      </c>
      <c r="L62" s="192" t="s">
        <v>689</v>
      </c>
      <c r="M62" s="194" t="s">
        <v>670</v>
      </c>
      <c r="N62" s="192" t="s">
        <v>671</v>
      </c>
      <c r="O62" s="194" t="s">
        <v>836</v>
      </c>
      <c r="P62" s="12"/>
      <c r="Q62" s="12"/>
      <c r="R62" s="12"/>
      <c r="S62" s="12"/>
      <c r="T62" s="12"/>
    </row>
    <row r="63" spans="3:20" ht="60" x14ac:dyDescent="0.25">
      <c r="C63" s="28">
        <v>13</v>
      </c>
      <c r="D63" s="28" t="s">
        <v>766</v>
      </c>
      <c r="E63" s="196" t="s">
        <v>666</v>
      </c>
      <c r="F63" s="28">
        <v>100</v>
      </c>
      <c r="G63" s="28">
        <v>100</v>
      </c>
      <c r="H63" s="28">
        <v>9000</v>
      </c>
      <c r="I63" s="28">
        <v>12</v>
      </c>
      <c r="J63" s="160" t="s">
        <v>667</v>
      </c>
      <c r="K63" s="28" t="s">
        <v>668</v>
      </c>
      <c r="L63" s="28" t="s">
        <v>669</v>
      </c>
      <c r="M63" s="28" t="s">
        <v>670</v>
      </c>
      <c r="N63" s="28" t="s">
        <v>671</v>
      </c>
      <c r="O63" s="28" t="s">
        <v>743</v>
      </c>
      <c r="P63" s="1"/>
      <c r="Q63" s="1"/>
      <c r="R63" s="183" t="s">
        <v>837</v>
      </c>
      <c r="S63" s="1"/>
      <c r="T63" s="1"/>
    </row>
  </sheetData>
  <mergeCells count="3">
    <mergeCell ref="H34:J34"/>
    <mergeCell ref="H36:J36"/>
    <mergeCell ref="I41:J4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3429-B4B4-4316-8FA8-EFE2B8C0125F}">
  <dimension ref="A1:D51"/>
  <sheetViews>
    <sheetView workbookViewId="0">
      <selection activeCell="C51" sqref="C51"/>
    </sheetView>
  </sheetViews>
  <sheetFormatPr defaultRowHeight="15" x14ac:dyDescent="0.25"/>
  <cols>
    <col min="1" max="1" width="7.85546875" customWidth="1"/>
    <col min="2" max="2" width="47" customWidth="1"/>
    <col min="3" max="3" width="142.7109375" customWidth="1"/>
    <col min="4" max="4" width="22.28515625" customWidth="1"/>
  </cols>
  <sheetData>
    <row r="1" spans="1:4" ht="27.75" customHeight="1" x14ac:dyDescent="0.25">
      <c r="A1" s="32" t="s">
        <v>116</v>
      </c>
      <c r="B1" s="32" t="s">
        <v>17</v>
      </c>
      <c r="C1" s="32" t="s">
        <v>2</v>
      </c>
      <c r="D1" s="32" t="s">
        <v>838</v>
      </c>
    </row>
    <row r="2" spans="1:4" x14ac:dyDescent="0.25">
      <c r="A2" s="28">
        <v>1</v>
      </c>
      <c r="B2" s="138" t="s">
        <v>839</v>
      </c>
      <c r="C2" s="25" t="s">
        <v>840</v>
      </c>
      <c r="D2" s="1" t="s">
        <v>841</v>
      </c>
    </row>
    <row r="3" spans="1:4" x14ac:dyDescent="0.25">
      <c r="A3" s="28">
        <v>2</v>
      </c>
      <c r="B3" s="138" t="s">
        <v>842</v>
      </c>
      <c r="C3" s="25" t="s">
        <v>843</v>
      </c>
      <c r="D3" s="1" t="s">
        <v>844</v>
      </c>
    </row>
    <row r="4" spans="1:4" x14ac:dyDescent="0.25">
      <c r="A4" s="28">
        <v>3</v>
      </c>
      <c r="B4" s="139" t="s">
        <v>845</v>
      </c>
      <c r="C4" s="25" t="s">
        <v>846</v>
      </c>
      <c r="D4" s="1" t="s">
        <v>841</v>
      </c>
    </row>
    <row r="5" spans="1:4" x14ac:dyDescent="0.25">
      <c r="A5" s="28">
        <v>4</v>
      </c>
      <c r="B5" s="139" t="s">
        <v>847</v>
      </c>
      <c r="C5" s="25" t="s">
        <v>843</v>
      </c>
      <c r="D5" s="1" t="s">
        <v>844</v>
      </c>
    </row>
    <row r="6" spans="1:4" x14ac:dyDescent="0.25">
      <c r="A6" s="28">
        <v>5</v>
      </c>
      <c r="B6" s="139" t="s">
        <v>848</v>
      </c>
      <c r="C6" s="25" t="s">
        <v>849</v>
      </c>
      <c r="D6" s="1" t="s">
        <v>850</v>
      </c>
    </row>
    <row r="7" spans="1:4" x14ac:dyDescent="0.25">
      <c r="A7" s="28"/>
      <c r="B7" s="139" t="s">
        <v>851</v>
      </c>
      <c r="C7" s="25"/>
      <c r="D7" s="1"/>
    </row>
    <row r="8" spans="1:4" x14ac:dyDescent="0.25">
      <c r="A8" s="28">
        <v>6</v>
      </c>
      <c r="B8" s="139" t="s">
        <v>852</v>
      </c>
      <c r="C8" s="25" t="s">
        <v>853</v>
      </c>
      <c r="D8" s="1" t="s">
        <v>766</v>
      </c>
    </row>
    <row r="9" spans="1:4" x14ac:dyDescent="0.25">
      <c r="A9" s="28">
        <v>7</v>
      </c>
      <c r="B9" s="139" t="s">
        <v>854</v>
      </c>
      <c r="C9" s="25" t="s">
        <v>855</v>
      </c>
      <c r="D9" s="1" t="s">
        <v>766</v>
      </c>
    </row>
    <row r="10" spans="1:4" x14ac:dyDescent="0.25">
      <c r="A10" s="28"/>
      <c r="B10" s="139" t="s">
        <v>856</v>
      </c>
      <c r="C10" s="25"/>
      <c r="D10" s="1"/>
    </row>
    <row r="11" spans="1:4" x14ac:dyDescent="0.25">
      <c r="A11" s="148">
        <v>8</v>
      </c>
      <c r="B11" s="151" t="s">
        <v>857</v>
      </c>
      <c r="C11" s="25" t="s">
        <v>858</v>
      </c>
      <c r="D11" s="1" t="s">
        <v>773</v>
      </c>
    </row>
    <row r="12" spans="1:4" ht="30" x14ac:dyDescent="0.25">
      <c r="A12" s="28">
        <v>9</v>
      </c>
      <c r="B12" s="139" t="s">
        <v>859</v>
      </c>
      <c r="C12" s="26" t="s">
        <v>860</v>
      </c>
      <c r="D12" s="1" t="s">
        <v>766</v>
      </c>
    </row>
    <row r="13" spans="1:4" x14ac:dyDescent="0.25">
      <c r="A13" s="28">
        <v>10</v>
      </c>
      <c r="B13" s="139" t="s">
        <v>599</v>
      </c>
      <c r="C13" s="25" t="s">
        <v>861</v>
      </c>
      <c r="D13" s="1" t="s">
        <v>766</v>
      </c>
    </row>
    <row r="14" spans="1:4" x14ac:dyDescent="0.25">
      <c r="A14" s="28">
        <v>11</v>
      </c>
      <c r="B14" s="139" t="s">
        <v>602</v>
      </c>
      <c r="C14" s="25" t="s">
        <v>604</v>
      </c>
      <c r="D14" s="1" t="s">
        <v>766</v>
      </c>
    </row>
    <row r="15" spans="1:4" x14ac:dyDescent="0.25">
      <c r="A15" s="28">
        <v>12</v>
      </c>
      <c r="B15" s="139" t="s">
        <v>611</v>
      </c>
      <c r="C15" s="25" t="s">
        <v>613</v>
      </c>
      <c r="D15" s="1" t="s">
        <v>766</v>
      </c>
    </row>
    <row r="16" spans="1:4" x14ac:dyDescent="0.25">
      <c r="A16" s="28">
        <v>13</v>
      </c>
      <c r="B16" s="139" t="s">
        <v>862</v>
      </c>
      <c r="C16" s="25" t="s">
        <v>607</v>
      </c>
      <c r="D16" s="1" t="s">
        <v>766</v>
      </c>
    </row>
    <row r="17" spans="1:4" x14ac:dyDescent="0.25">
      <c r="A17" s="28">
        <v>14</v>
      </c>
      <c r="B17" s="139" t="s">
        <v>863</v>
      </c>
      <c r="C17" s="25" t="s">
        <v>864</v>
      </c>
      <c r="D17" s="1" t="s">
        <v>766</v>
      </c>
    </row>
    <row r="18" spans="1:4" x14ac:dyDescent="0.25">
      <c r="A18" s="28">
        <v>15</v>
      </c>
      <c r="B18" s="139" t="s">
        <v>865</v>
      </c>
      <c r="C18" s="25" t="s">
        <v>866</v>
      </c>
      <c r="D18" s="1" t="s">
        <v>766</v>
      </c>
    </row>
    <row r="19" spans="1:4" x14ac:dyDescent="0.25">
      <c r="A19" s="28"/>
      <c r="B19" s="146" t="s">
        <v>867</v>
      </c>
      <c r="C19" s="25"/>
      <c r="D19" s="1"/>
    </row>
    <row r="20" spans="1:4" x14ac:dyDescent="0.25">
      <c r="A20" s="28">
        <v>16</v>
      </c>
      <c r="B20" s="139" t="s">
        <v>868</v>
      </c>
      <c r="C20" s="25" t="s">
        <v>869</v>
      </c>
      <c r="D20" s="1" t="s">
        <v>766</v>
      </c>
    </row>
    <row r="21" spans="1:4" x14ac:dyDescent="0.25">
      <c r="A21" s="115">
        <v>17</v>
      </c>
      <c r="B21" s="142" t="s">
        <v>870</v>
      </c>
      <c r="C21" s="25" t="s">
        <v>871</v>
      </c>
      <c r="D21" s="1" t="s">
        <v>766</v>
      </c>
    </row>
    <row r="22" spans="1:4" x14ac:dyDescent="0.25">
      <c r="A22" s="28">
        <v>18</v>
      </c>
      <c r="B22" s="139" t="s">
        <v>619</v>
      </c>
      <c r="C22" s="25" t="s">
        <v>872</v>
      </c>
      <c r="D22" s="1" t="s">
        <v>766</v>
      </c>
    </row>
    <row r="23" spans="1:4" x14ac:dyDescent="0.25">
      <c r="A23" s="28">
        <v>19</v>
      </c>
      <c r="B23" s="139" t="s">
        <v>873</v>
      </c>
      <c r="C23" s="25" t="s">
        <v>874</v>
      </c>
      <c r="D23" s="1" t="s">
        <v>875</v>
      </c>
    </row>
    <row r="24" spans="1:4" x14ac:dyDescent="0.25">
      <c r="A24" s="148"/>
      <c r="B24" s="151" t="s">
        <v>876</v>
      </c>
      <c r="C24" s="25"/>
      <c r="D24" s="1"/>
    </row>
    <row r="25" spans="1:4" x14ac:dyDescent="0.25">
      <c r="A25" s="28">
        <v>20</v>
      </c>
      <c r="B25" s="138" t="s">
        <v>877</v>
      </c>
      <c r="C25" s="26" t="s">
        <v>878</v>
      </c>
      <c r="D25" s="1" t="s">
        <v>797</v>
      </c>
    </row>
    <row r="26" spans="1:4" s="141" customFormat="1" x14ac:dyDescent="0.25">
      <c r="A26" s="150">
        <v>21</v>
      </c>
      <c r="B26" s="152" t="s">
        <v>879</v>
      </c>
      <c r="C26" s="140" t="s">
        <v>880</v>
      </c>
      <c r="D26" s="1"/>
    </row>
    <row r="27" spans="1:4" s="141" customFormat="1" x14ac:dyDescent="0.25">
      <c r="A27" s="144">
        <v>23</v>
      </c>
      <c r="B27" s="151" t="s">
        <v>881</v>
      </c>
      <c r="C27" s="140" t="s">
        <v>882</v>
      </c>
      <c r="D27" s="143"/>
    </row>
    <row r="28" spans="1:4" x14ac:dyDescent="0.25">
      <c r="A28" s="28">
        <v>24</v>
      </c>
      <c r="B28" s="139" t="s">
        <v>597</v>
      </c>
      <c r="C28" s="149" t="s">
        <v>883</v>
      </c>
      <c r="D28" s="1" t="s">
        <v>804</v>
      </c>
    </row>
    <row r="29" spans="1:4" x14ac:dyDescent="0.25">
      <c r="A29" s="144">
        <v>25</v>
      </c>
      <c r="B29" s="151" t="s">
        <v>884</v>
      </c>
      <c r="C29" s="140" t="s">
        <v>885</v>
      </c>
      <c r="D29" s="1"/>
    </row>
    <row r="30" spans="1:4" x14ac:dyDescent="0.25">
      <c r="A30" s="28">
        <v>26</v>
      </c>
      <c r="B30" s="139" t="s">
        <v>886</v>
      </c>
      <c r="C30" s="145" t="s">
        <v>887</v>
      </c>
      <c r="D30" s="1" t="s">
        <v>800</v>
      </c>
    </row>
    <row r="31" spans="1:4" x14ac:dyDescent="0.25">
      <c r="A31" s="28">
        <v>27</v>
      </c>
      <c r="B31" s="139" t="s">
        <v>888</v>
      </c>
      <c r="C31" s="26" t="s">
        <v>889</v>
      </c>
      <c r="D31" s="1" t="s">
        <v>766</v>
      </c>
    </row>
    <row r="32" spans="1:4" x14ac:dyDescent="0.25">
      <c r="A32" s="28">
        <v>28</v>
      </c>
      <c r="B32" s="139" t="s">
        <v>890</v>
      </c>
      <c r="C32" s="1" t="s">
        <v>891</v>
      </c>
      <c r="D32" s="1" t="s">
        <v>892</v>
      </c>
    </row>
    <row r="33" spans="1:4" x14ac:dyDescent="0.25">
      <c r="A33" s="28">
        <v>29</v>
      </c>
      <c r="B33" s="139" t="s">
        <v>562</v>
      </c>
      <c r="C33" s="1" t="s">
        <v>564</v>
      </c>
      <c r="D33" s="1" t="s">
        <v>893</v>
      </c>
    </row>
    <row r="34" spans="1:4" x14ac:dyDescent="0.25">
      <c r="A34" s="28">
        <v>30</v>
      </c>
      <c r="B34" s="139" t="s">
        <v>894</v>
      </c>
      <c r="C34" s="1" t="s">
        <v>895</v>
      </c>
      <c r="D34" s="1"/>
    </row>
    <row r="35" spans="1:4" x14ac:dyDescent="0.25">
      <c r="A35" s="28">
        <v>31</v>
      </c>
      <c r="B35" s="1" t="s">
        <v>651</v>
      </c>
      <c r="C35" s="1"/>
      <c r="D35" s="1"/>
    </row>
    <row r="36" spans="1:4" x14ac:dyDescent="0.25">
      <c r="A36" s="28">
        <v>32</v>
      </c>
      <c r="B36" s="1" t="s">
        <v>628</v>
      </c>
      <c r="C36" s="1"/>
      <c r="D36" s="1"/>
    </row>
    <row r="37" spans="1:4" x14ac:dyDescent="0.25">
      <c r="A37" s="28">
        <v>33</v>
      </c>
      <c r="B37" s="1" t="s">
        <v>633</v>
      </c>
      <c r="C37" s="1"/>
      <c r="D37" s="1"/>
    </row>
    <row r="38" spans="1:4" x14ac:dyDescent="0.25">
      <c r="A38" s="28">
        <v>34</v>
      </c>
      <c r="B38" s="1" t="s">
        <v>896</v>
      </c>
      <c r="C38" s="1"/>
      <c r="D38" s="1"/>
    </row>
    <row r="39" spans="1:4" x14ac:dyDescent="0.25">
      <c r="A39" s="1"/>
      <c r="B39" s="1" t="s">
        <v>897</v>
      </c>
      <c r="C39" s="1"/>
      <c r="D39" s="1"/>
    </row>
    <row r="40" spans="1:4" x14ac:dyDescent="0.25">
      <c r="A40" s="1"/>
      <c r="B40" s="1" t="s">
        <v>898</v>
      </c>
      <c r="C40" s="1"/>
      <c r="D40" s="1"/>
    </row>
    <row r="41" spans="1:4" x14ac:dyDescent="0.25">
      <c r="B41" s="147" t="s">
        <v>899</v>
      </c>
    </row>
    <row r="51" spans="3:3" x14ac:dyDescent="0.25">
      <c r="C51" t="s">
        <v>651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C578-5648-47BF-9975-7D7FFBB8D320}">
  <dimension ref="A2:I35"/>
  <sheetViews>
    <sheetView workbookViewId="0">
      <selection activeCell="D8" sqref="B8:D8"/>
    </sheetView>
  </sheetViews>
  <sheetFormatPr defaultRowHeight="15" x14ac:dyDescent="0.25"/>
  <cols>
    <col min="2" max="2" width="51.28515625" style="157" customWidth="1"/>
    <col min="3" max="3" width="13.140625" customWidth="1"/>
    <col min="4" max="4" width="18" customWidth="1"/>
    <col min="5" max="5" width="19.28515625" customWidth="1"/>
    <col min="6" max="6" width="21" customWidth="1"/>
    <col min="7" max="7" width="14.85546875" style="96" customWidth="1"/>
    <col min="8" max="8" width="13.5703125" customWidth="1"/>
    <col min="9" max="9" width="73.140625" customWidth="1"/>
  </cols>
  <sheetData>
    <row r="2" spans="1:9" s="154" customFormat="1" x14ac:dyDescent="0.25">
      <c r="A2" s="153" t="s">
        <v>900</v>
      </c>
      <c r="B2" s="155" t="s">
        <v>901</v>
      </c>
      <c r="C2" s="153" t="s">
        <v>902</v>
      </c>
      <c r="D2" s="153" t="s">
        <v>903</v>
      </c>
      <c r="E2" s="153" t="s">
        <v>904</v>
      </c>
      <c r="F2" s="153" t="s">
        <v>905</v>
      </c>
      <c r="G2" s="153" t="s">
        <v>906</v>
      </c>
      <c r="H2" s="153" t="s">
        <v>907</v>
      </c>
      <c r="I2" s="153" t="s">
        <v>908</v>
      </c>
    </row>
    <row r="3" spans="1:9" x14ac:dyDescent="0.25">
      <c r="A3" s="28">
        <v>1</v>
      </c>
      <c r="B3" s="156" t="s">
        <v>274</v>
      </c>
      <c r="C3" s="28" t="s">
        <v>159</v>
      </c>
      <c r="D3" s="28" t="s">
        <v>909</v>
      </c>
      <c r="E3" s="28">
        <v>9000</v>
      </c>
      <c r="F3" s="28" t="s">
        <v>910</v>
      </c>
      <c r="G3" s="28">
        <v>27</v>
      </c>
      <c r="H3" s="28">
        <v>0</v>
      </c>
      <c r="I3" s="28"/>
    </row>
    <row r="4" spans="1:9" x14ac:dyDescent="0.25">
      <c r="A4" s="28">
        <v>2</v>
      </c>
      <c r="B4" s="156" t="s">
        <v>911</v>
      </c>
      <c r="C4" s="28" t="s">
        <v>159</v>
      </c>
      <c r="D4" s="28" t="s">
        <v>909</v>
      </c>
      <c r="E4" s="28">
        <v>9000</v>
      </c>
      <c r="F4" s="28" t="s">
        <v>679</v>
      </c>
      <c r="G4" s="28">
        <v>27</v>
      </c>
      <c r="H4" s="28">
        <v>0</v>
      </c>
      <c r="I4" s="28"/>
    </row>
    <row r="5" spans="1:9" x14ac:dyDescent="0.25">
      <c r="A5" s="28">
        <v>3</v>
      </c>
      <c r="B5" s="156" t="s">
        <v>912</v>
      </c>
      <c r="C5" s="28" t="s">
        <v>159</v>
      </c>
      <c r="D5" s="28" t="s">
        <v>909</v>
      </c>
      <c r="E5" s="28">
        <v>1500</v>
      </c>
      <c r="F5" s="28" t="s">
        <v>910</v>
      </c>
      <c r="G5" s="28">
        <v>27</v>
      </c>
      <c r="H5" s="28">
        <v>0</v>
      </c>
      <c r="I5" s="28"/>
    </row>
    <row r="6" spans="1:9" x14ac:dyDescent="0.25">
      <c r="A6" s="28">
        <v>4</v>
      </c>
      <c r="B6" s="156" t="s">
        <v>913</v>
      </c>
      <c r="C6" s="28" t="s">
        <v>159</v>
      </c>
      <c r="D6" s="28" t="s">
        <v>909</v>
      </c>
      <c r="E6" s="28">
        <v>1500</v>
      </c>
      <c r="F6" s="28" t="s">
        <v>679</v>
      </c>
      <c r="G6" s="28">
        <v>27</v>
      </c>
      <c r="H6" s="28">
        <v>0</v>
      </c>
      <c r="I6" s="28"/>
    </row>
    <row r="7" spans="1:9" x14ac:dyDescent="0.25">
      <c r="A7" s="28">
        <v>5</v>
      </c>
      <c r="B7" s="156" t="s">
        <v>914</v>
      </c>
      <c r="C7" s="28" t="s">
        <v>159</v>
      </c>
      <c r="D7" s="28" t="s">
        <v>909</v>
      </c>
      <c r="E7" s="28">
        <v>9000</v>
      </c>
      <c r="F7" s="28" t="s">
        <v>910</v>
      </c>
      <c r="G7" s="28">
        <v>27</v>
      </c>
      <c r="H7" s="28">
        <v>0</v>
      </c>
      <c r="I7" s="28" t="s">
        <v>915</v>
      </c>
    </row>
    <row r="8" spans="1:9" x14ac:dyDescent="0.25">
      <c r="A8" s="28">
        <v>6</v>
      </c>
      <c r="B8" s="156" t="s">
        <v>278</v>
      </c>
      <c r="C8" s="28" t="s">
        <v>159</v>
      </c>
      <c r="D8" s="28" t="s">
        <v>916</v>
      </c>
      <c r="E8" s="28">
        <v>9000</v>
      </c>
      <c r="F8" s="28" t="s">
        <v>910</v>
      </c>
      <c r="G8" s="28">
        <v>27</v>
      </c>
      <c r="H8" s="28">
        <v>0</v>
      </c>
      <c r="I8" s="28"/>
    </row>
    <row r="9" spans="1:9" x14ac:dyDescent="0.25">
      <c r="A9" s="28">
        <v>7</v>
      </c>
      <c r="B9" s="156" t="s">
        <v>917</v>
      </c>
      <c r="C9" s="28" t="s">
        <v>159</v>
      </c>
      <c r="D9" s="28" t="s">
        <v>916</v>
      </c>
      <c r="E9" s="28">
        <v>9000</v>
      </c>
      <c r="F9" s="28" t="s">
        <v>679</v>
      </c>
      <c r="G9" s="28">
        <v>27</v>
      </c>
      <c r="H9" s="28">
        <v>0</v>
      </c>
      <c r="I9" s="28"/>
    </row>
    <row r="10" spans="1:9" x14ac:dyDescent="0.25">
      <c r="A10" s="28">
        <v>8</v>
      </c>
      <c r="B10" s="156" t="s">
        <v>918</v>
      </c>
      <c r="C10" s="28" t="s">
        <v>159</v>
      </c>
      <c r="D10" s="28" t="s">
        <v>916</v>
      </c>
      <c r="E10" s="28">
        <v>1500</v>
      </c>
      <c r="F10" s="28" t="s">
        <v>910</v>
      </c>
      <c r="G10" s="28">
        <v>27</v>
      </c>
      <c r="H10" s="28">
        <v>0</v>
      </c>
      <c r="I10" s="28"/>
    </row>
    <row r="11" spans="1:9" x14ac:dyDescent="0.25">
      <c r="A11" s="28">
        <v>9</v>
      </c>
      <c r="B11" s="156" t="s">
        <v>919</v>
      </c>
      <c r="C11" s="28" t="s">
        <v>159</v>
      </c>
      <c r="D11" s="28" t="s">
        <v>916</v>
      </c>
      <c r="E11" s="28">
        <v>1500</v>
      </c>
      <c r="F11" s="28" t="s">
        <v>679</v>
      </c>
      <c r="G11" s="28">
        <v>27</v>
      </c>
      <c r="H11" s="28">
        <v>0</v>
      </c>
      <c r="I11" s="28"/>
    </row>
    <row r="12" spans="1:9" x14ac:dyDescent="0.25">
      <c r="A12" s="28">
        <v>10</v>
      </c>
      <c r="B12" s="156" t="s">
        <v>920</v>
      </c>
      <c r="C12" s="28" t="s">
        <v>159</v>
      </c>
      <c r="D12" s="28" t="s">
        <v>921</v>
      </c>
      <c r="E12" s="28">
        <v>9000</v>
      </c>
      <c r="F12" s="28" t="s">
        <v>910</v>
      </c>
      <c r="G12" s="28">
        <v>27</v>
      </c>
      <c r="H12" s="28">
        <v>0</v>
      </c>
      <c r="I12" s="28"/>
    </row>
    <row r="13" spans="1:9" x14ac:dyDescent="0.25">
      <c r="A13" s="28">
        <v>11</v>
      </c>
      <c r="B13" s="156" t="s">
        <v>922</v>
      </c>
      <c r="C13" s="28" t="s">
        <v>159</v>
      </c>
      <c r="D13" s="28" t="s">
        <v>923</v>
      </c>
      <c r="E13" s="28">
        <v>9000</v>
      </c>
      <c r="F13" s="28" t="s">
        <v>910</v>
      </c>
      <c r="G13" s="28">
        <v>27</v>
      </c>
      <c r="H13" s="28">
        <v>0</v>
      </c>
      <c r="I13" s="28"/>
    </row>
    <row r="14" spans="1:9" x14ac:dyDescent="0.25">
      <c r="A14" s="28">
        <v>12</v>
      </c>
      <c r="B14" s="156" t="s">
        <v>924</v>
      </c>
      <c r="C14" s="28" t="s">
        <v>159</v>
      </c>
      <c r="D14" s="28" t="s">
        <v>909</v>
      </c>
      <c r="E14" s="28">
        <v>9000</v>
      </c>
      <c r="F14" s="28" t="s">
        <v>910</v>
      </c>
      <c r="G14" s="28">
        <v>27</v>
      </c>
      <c r="H14" s="28">
        <v>0</v>
      </c>
      <c r="I14" s="28" t="s">
        <v>15</v>
      </c>
    </row>
    <row r="15" spans="1:9" x14ac:dyDescent="0.25">
      <c r="A15" s="28">
        <v>13</v>
      </c>
      <c r="B15" s="156" t="s">
        <v>925</v>
      </c>
      <c r="C15" s="28" t="s">
        <v>159</v>
      </c>
      <c r="D15" s="28" t="s">
        <v>916</v>
      </c>
      <c r="E15" s="28">
        <v>9000</v>
      </c>
      <c r="F15" s="28" t="s">
        <v>910</v>
      </c>
      <c r="G15" s="28">
        <v>27</v>
      </c>
      <c r="H15" s="28">
        <v>0</v>
      </c>
      <c r="I15" s="28" t="s">
        <v>15</v>
      </c>
    </row>
    <row r="16" spans="1:9" x14ac:dyDescent="0.25">
      <c r="A16" s="28">
        <v>14</v>
      </c>
      <c r="B16" s="156" t="s">
        <v>926</v>
      </c>
      <c r="C16" s="28" t="s">
        <v>159</v>
      </c>
      <c r="D16" s="28" t="s">
        <v>909</v>
      </c>
      <c r="E16" s="28">
        <v>9000</v>
      </c>
      <c r="F16" s="28" t="s">
        <v>910</v>
      </c>
      <c r="G16" s="28">
        <v>27</v>
      </c>
      <c r="H16" s="28">
        <v>0</v>
      </c>
      <c r="I16" s="28" t="s">
        <v>927</v>
      </c>
    </row>
    <row r="17" spans="1:9" x14ac:dyDescent="0.25">
      <c r="A17" s="28">
        <v>15</v>
      </c>
      <c r="B17" s="156" t="s">
        <v>928</v>
      </c>
      <c r="C17" s="28" t="s">
        <v>159</v>
      </c>
      <c r="D17" s="28" t="s">
        <v>909</v>
      </c>
      <c r="E17" s="28">
        <v>9000</v>
      </c>
      <c r="F17" s="28" t="s">
        <v>910</v>
      </c>
      <c r="G17" s="28">
        <v>27</v>
      </c>
      <c r="H17" s="28">
        <v>0</v>
      </c>
      <c r="I17" s="28" t="s">
        <v>929</v>
      </c>
    </row>
    <row r="18" spans="1:9" x14ac:dyDescent="0.25">
      <c r="A18" s="28">
        <v>16</v>
      </c>
      <c r="B18" s="156" t="s">
        <v>930</v>
      </c>
      <c r="C18" s="28" t="s">
        <v>159</v>
      </c>
      <c r="D18" s="28" t="s">
        <v>909</v>
      </c>
      <c r="E18" s="28">
        <v>9000</v>
      </c>
      <c r="F18" s="28" t="s">
        <v>910</v>
      </c>
      <c r="G18" s="28" t="s">
        <v>688</v>
      </c>
      <c r="H18" s="28" t="s">
        <v>688</v>
      </c>
      <c r="I18" s="28" t="s">
        <v>597</v>
      </c>
    </row>
    <row r="19" spans="1:9" x14ac:dyDescent="0.25">
      <c r="A19" s="28">
        <v>17</v>
      </c>
      <c r="B19" s="156" t="s">
        <v>931</v>
      </c>
      <c r="C19" s="28" t="s">
        <v>159</v>
      </c>
      <c r="D19" s="28" t="s">
        <v>909</v>
      </c>
      <c r="E19" s="28">
        <v>9000</v>
      </c>
      <c r="F19" s="28" t="s">
        <v>910</v>
      </c>
      <c r="G19" s="28">
        <v>27</v>
      </c>
      <c r="H19" s="28">
        <v>30</v>
      </c>
      <c r="I19" s="28"/>
    </row>
    <row r="20" spans="1:9" x14ac:dyDescent="0.25">
      <c r="A20" s="28">
        <v>18</v>
      </c>
      <c r="B20" s="156" t="s">
        <v>932</v>
      </c>
      <c r="C20" s="28" t="s">
        <v>159</v>
      </c>
      <c r="D20" s="28" t="s">
        <v>909</v>
      </c>
      <c r="E20" s="28">
        <v>9000</v>
      </c>
      <c r="F20" s="28" t="s">
        <v>910</v>
      </c>
      <c r="G20" s="28">
        <v>21</v>
      </c>
      <c r="H20" s="28">
        <v>0</v>
      </c>
      <c r="I20" s="28"/>
    </row>
    <row r="21" spans="1:9" x14ac:dyDescent="0.25">
      <c r="A21" s="28">
        <v>19</v>
      </c>
      <c r="B21" s="156" t="s">
        <v>933</v>
      </c>
      <c r="C21" s="28" t="s">
        <v>159</v>
      </c>
      <c r="D21" s="28" t="s">
        <v>909</v>
      </c>
      <c r="E21" s="28">
        <v>9000</v>
      </c>
      <c r="F21" s="28" t="s">
        <v>910</v>
      </c>
      <c r="G21" s="28">
        <v>16</v>
      </c>
      <c r="H21" s="28">
        <v>0</v>
      </c>
      <c r="I21" s="28"/>
    </row>
    <row r="22" spans="1:9" x14ac:dyDescent="0.25">
      <c r="A22" s="28">
        <v>20</v>
      </c>
      <c r="B22" s="156" t="s">
        <v>934</v>
      </c>
      <c r="C22" s="28" t="s">
        <v>159</v>
      </c>
      <c r="D22" s="28" t="s">
        <v>909</v>
      </c>
      <c r="E22" s="28">
        <v>9000</v>
      </c>
      <c r="F22" s="28" t="s">
        <v>910</v>
      </c>
      <c r="G22" s="28">
        <v>9</v>
      </c>
      <c r="H22" s="28">
        <v>0</v>
      </c>
      <c r="I22" s="28"/>
    </row>
    <row r="23" spans="1:9" x14ac:dyDescent="0.25">
      <c r="A23" s="28">
        <v>21</v>
      </c>
      <c r="B23" s="156" t="s">
        <v>935</v>
      </c>
      <c r="C23" s="28" t="s">
        <v>159</v>
      </c>
      <c r="D23" s="28" t="s">
        <v>909</v>
      </c>
      <c r="E23" s="28">
        <v>9000</v>
      </c>
      <c r="F23" s="28" t="s">
        <v>910</v>
      </c>
      <c r="G23" s="28">
        <v>14</v>
      </c>
      <c r="H23" s="28">
        <v>0</v>
      </c>
      <c r="I23" s="28"/>
    </row>
    <row r="24" spans="1:9" x14ac:dyDescent="0.25">
      <c r="A24" s="28">
        <v>22</v>
      </c>
      <c r="B24" s="156" t="s">
        <v>936</v>
      </c>
      <c r="C24" s="28" t="s">
        <v>159</v>
      </c>
      <c r="D24" s="28" t="s">
        <v>909</v>
      </c>
      <c r="E24" s="28">
        <v>9000</v>
      </c>
      <c r="F24" s="28" t="s">
        <v>910</v>
      </c>
      <c r="G24" s="28" t="s">
        <v>688</v>
      </c>
      <c r="H24" s="28" t="s">
        <v>688</v>
      </c>
      <c r="I24" s="28" t="s">
        <v>937</v>
      </c>
    </row>
    <row r="25" spans="1:9" x14ac:dyDescent="0.25">
      <c r="A25" s="28">
        <v>23</v>
      </c>
      <c r="B25" s="156" t="s">
        <v>938</v>
      </c>
      <c r="C25" s="28" t="s">
        <v>159</v>
      </c>
      <c r="D25" s="28" t="s">
        <v>909</v>
      </c>
      <c r="E25" s="28">
        <v>9000</v>
      </c>
      <c r="F25" s="28" t="s">
        <v>910</v>
      </c>
      <c r="G25" s="28">
        <v>27</v>
      </c>
      <c r="H25" s="28">
        <v>0</v>
      </c>
      <c r="I25" s="28" t="s">
        <v>939</v>
      </c>
    </row>
    <row r="26" spans="1:9" x14ac:dyDescent="0.25">
      <c r="A26" s="28">
        <v>24</v>
      </c>
      <c r="B26" s="156" t="s">
        <v>940</v>
      </c>
      <c r="C26" s="28" t="s">
        <v>159</v>
      </c>
      <c r="D26" s="28" t="s">
        <v>909</v>
      </c>
      <c r="E26" s="28">
        <v>9000</v>
      </c>
      <c r="F26" s="28" t="s">
        <v>910</v>
      </c>
      <c r="G26" s="28">
        <v>27</v>
      </c>
      <c r="H26" s="28">
        <v>0</v>
      </c>
      <c r="I26" s="28" t="s">
        <v>941</v>
      </c>
    </row>
    <row r="27" spans="1:9" x14ac:dyDescent="0.25">
      <c r="A27" s="28">
        <v>25</v>
      </c>
      <c r="B27" s="156" t="s">
        <v>942</v>
      </c>
      <c r="C27" s="28" t="s">
        <v>159</v>
      </c>
      <c r="D27" s="28" t="s">
        <v>909</v>
      </c>
      <c r="E27" s="28">
        <v>9000</v>
      </c>
      <c r="F27" s="28" t="s">
        <v>910</v>
      </c>
      <c r="G27" s="28">
        <v>27</v>
      </c>
      <c r="H27" s="28">
        <v>0</v>
      </c>
      <c r="I27" s="28" t="s">
        <v>943</v>
      </c>
    </row>
    <row r="28" spans="1:9" x14ac:dyDescent="0.25">
      <c r="A28" s="28">
        <v>26</v>
      </c>
      <c r="B28" s="156" t="s">
        <v>944</v>
      </c>
      <c r="C28" s="28" t="s">
        <v>159</v>
      </c>
      <c r="D28" s="28" t="s">
        <v>909</v>
      </c>
      <c r="E28" s="28">
        <v>9000</v>
      </c>
      <c r="F28" s="28" t="s">
        <v>910</v>
      </c>
      <c r="G28" s="28">
        <v>9</v>
      </c>
      <c r="H28" s="28">
        <v>0</v>
      </c>
      <c r="I28" s="28" t="s">
        <v>945</v>
      </c>
    </row>
    <row r="29" spans="1:9" x14ac:dyDescent="0.25">
      <c r="A29" s="28">
        <v>27</v>
      </c>
      <c r="B29" s="156" t="s">
        <v>946</v>
      </c>
      <c r="C29" s="28" t="s">
        <v>159</v>
      </c>
      <c r="D29" s="28" t="s">
        <v>909</v>
      </c>
      <c r="E29" s="28">
        <v>9000</v>
      </c>
      <c r="F29" s="28" t="s">
        <v>910</v>
      </c>
      <c r="G29" s="28">
        <v>14</v>
      </c>
      <c r="H29" s="28">
        <v>0</v>
      </c>
      <c r="I29" s="28" t="s">
        <v>947</v>
      </c>
    </row>
    <row r="30" spans="1:9" x14ac:dyDescent="0.25">
      <c r="A30" s="28">
        <v>28</v>
      </c>
      <c r="B30" s="156" t="s">
        <v>948</v>
      </c>
      <c r="C30" s="28" t="s">
        <v>159</v>
      </c>
      <c r="D30" s="28" t="s">
        <v>909</v>
      </c>
      <c r="E30" s="28">
        <v>9000</v>
      </c>
      <c r="F30" s="28" t="s">
        <v>910</v>
      </c>
      <c r="G30" s="28">
        <v>19</v>
      </c>
      <c r="H30" s="28">
        <v>0</v>
      </c>
      <c r="I30" s="28" t="s">
        <v>949</v>
      </c>
    </row>
    <row r="31" spans="1:9" x14ac:dyDescent="0.25">
      <c r="A31" s="28">
        <v>29</v>
      </c>
      <c r="B31" s="156" t="s">
        <v>950</v>
      </c>
      <c r="C31" s="28" t="s">
        <v>159</v>
      </c>
      <c r="D31" s="28" t="s">
        <v>921</v>
      </c>
      <c r="E31" s="28">
        <v>9000</v>
      </c>
      <c r="F31" s="28" t="s">
        <v>910</v>
      </c>
      <c r="G31" s="95">
        <v>27</v>
      </c>
      <c r="H31" s="1"/>
      <c r="I31" s="1" t="s">
        <v>951</v>
      </c>
    </row>
    <row r="32" spans="1:9" x14ac:dyDescent="0.25">
      <c r="A32" s="28">
        <v>30</v>
      </c>
      <c r="B32" s="156" t="s">
        <v>952</v>
      </c>
      <c r="C32" s="28" t="s">
        <v>159</v>
      </c>
      <c r="D32" s="28" t="s">
        <v>909</v>
      </c>
      <c r="E32" s="28">
        <v>9000</v>
      </c>
      <c r="F32" s="28" t="s">
        <v>910</v>
      </c>
      <c r="G32" s="95">
        <v>27</v>
      </c>
      <c r="H32" s="1"/>
      <c r="I32" s="1"/>
    </row>
    <row r="33" spans="1:9" x14ac:dyDescent="0.25">
      <c r="A33" s="28">
        <v>31</v>
      </c>
      <c r="B33" s="156" t="s">
        <v>953</v>
      </c>
      <c r="C33" s="28" t="s">
        <v>159</v>
      </c>
      <c r="D33" s="28" t="s">
        <v>909</v>
      </c>
      <c r="E33" s="28">
        <v>9000</v>
      </c>
      <c r="F33" s="28" t="s">
        <v>910</v>
      </c>
      <c r="G33" s="95">
        <v>27</v>
      </c>
      <c r="H33" s="1"/>
      <c r="I33" s="1"/>
    </row>
    <row r="34" spans="1:9" x14ac:dyDescent="0.25">
      <c r="A34" s="28">
        <v>32</v>
      </c>
      <c r="B34" s="156" t="s">
        <v>954</v>
      </c>
      <c r="C34" s="28" t="s">
        <v>159</v>
      </c>
      <c r="D34" s="28" t="s">
        <v>909</v>
      </c>
      <c r="E34" s="28">
        <v>9000</v>
      </c>
      <c r="F34" s="28" t="s">
        <v>910</v>
      </c>
      <c r="G34" s="95">
        <v>27</v>
      </c>
      <c r="H34" s="1"/>
      <c r="I34" s="1"/>
    </row>
    <row r="35" spans="1:9" x14ac:dyDescent="0.25">
      <c r="A35" s="28">
        <v>33</v>
      </c>
      <c r="B35" s="156" t="s">
        <v>955</v>
      </c>
      <c r="C35" s="28" t="s">
        <v>159</v>
      </c>
      <c r="D35" s="28" t="s">
        <v>909</v>
      </c>
      <c r="E35" s="28">
        <v>9000</v>
      </c>
      <c r="F35" s="28" t="s">
        <v>910</v>
      </c>
      <c r="G35" s="95">
        <v>27</v>
      </c>
      <c r="H35" s="1"/>
      <c r="I35" s="1" t="s">
        <v>956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31A65-F71A-41FD-BEC7-6E4A41A0762A}">
  <dimension ref="A1:E4"/>
  <sheetViews>
    <sheetView workbookViewId="0">
      <selection activeCell="C10" sqref="C10"/>
    </sheetView>
  </sheetViews>
  <sheetFormatPr defaultRowHeight="15" x14ac:dyDescent="0.25"/>
  <cols>
    <col min="2" max="2" width="24.85546875" customWidth="1"/>
    <col min="3" max="3" width="116" customWidth="1"/>
    <col min="4" max="4" width="17.42578125" customWidth="1"/>
    <col min="5" max="5" width="19.42578125" customWidth="1"/>
  </cols>
  <sheetData>
    <row r="1" spans="1:5" x14ac:dyDescent="0.25">
      <c r="A1" s="32" t="s">
        <v>116</v>
      </c>
      <c r="B1" s="32" t="s">
        <v>17</v>
      </c>
      <c r="C1" s="32" t="s">
        <v>2</v>
      </c>
      <c r="D1" s="107" t="s">
        <v>957</v>
      </c>
      <c r="E1" s="33" t="s">
        <v>156</v>
      </c>
    </row>
    <row r="2" spans="1:5" ht="60" customHeight="1" x14ac:dyDescent="0.25">
      <c r="A2" s="28">
        <v>1</v>
      </c>
      <c r="B2" s="116" t="s">
        <v>200</v>
      </c>
      <c r="C2" s="122" t="s">
        <v>958</v>
      </c>
      <c r="D2" s="115" t="s">
        <v>959</v>
      </c>
      <c r="E2" s="117" t="s">
        <v>960</v>
      </c>
    </row>
    <row r="3" spans="1:5" ht="15" customHeight="1" x14ac:dyDescent="0.25">
      <c r="A3" s="119"/>
      <c r="B3" s="119"/>
      <c r="C3" s="120"/>
      <c r="D3" s="119"/>
      <c r="E3" s="119"/>
    </row>
    <row r="4" spans="1:5" ht="60" customHeight="1" x14ac:dyDescent="0.25">
      <c r="A4" s="28">
        <v>4</v>
      </c>
      <c r="B4" s="118" t="s">
        <v>217</v>
      </c>
      <c r="C4" s="122" t="s">
        <v>961</v>
      </c>
      <c r="D4" s="28" t="s">
        <v>959</v>
      </c>
      <c r="E4" s="117" t="s">
        <v>960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B995-B996-4896-BCFE-62443C4B4EFA}">
  <dimension ref="A1:E5"/>
  <sheetViews>
    <sheetView workbookViewId="0">
      <selection activeCell="E14" sqref="E14"/>
    </sheetView>
  </sheetViews>
  <sheetFormatPr defaultRowHeight="15" x14ac:dyDescent="0.25"/>
  <cols>
    <col min="2" max="2" width="28.5703125" customWidth="1"/>
    <col min="3" max="3" width="84.42578125" customWidth="1"/>
    <col min="4" max="4" width="38" customWidth="1"/>
    <col min="5" max="5" width="32.5703125" customWidth="1"/>
  </cols>
  <sheetData>
    <row r="1" spans="1:5" x14ac:dyDescent="0.25">
      <c r="A1" s="32" t="s">
        <v>116</v>
      </c>
      <c r="B1" s="32" t="s">
        <v>17</v>
      </c>
      <c r="C1" s="32" t="s">
        <v>2</v>
      </c>
      <c r="D1" s="107" t="s">
        <v>957</v>
      </c>
      <c r="E1" s="33" t="s">
        <v>156</v>
      </c>
    </row>
    <row r="2" spans="1:5" ht="33" customHeight="1" x14ac:dyDescent="0.25">
      <c r="A2" s="304">
        <v>1</v>
      </c>
      <c r="B2" s="330" t="s">
        <v>217</v>
      </c>
      <c r="C2" s="382" t="s">
        <v>962</v>
      </c>
      <c r="D2" s="115" t="s">
        <v>963</v>
      </c>
      <c r="E2" s="384" t="s">
        <v>960</v>
      </c>
    </row>
    <row r="3" spans="1:5" ht="35.25" customHeight="1" x14ac:dyDescent="0.25">
      <c r="A3" s="303"/>
      <c r="B3" s="332"/>
      <c r="C3" s="383"/>
      <c r="D3" s="114" t="s">
        <v>964</v>
      </c>
      <c r="E3" s="385"/>
    </row>
    <row r="4" spans="1:5" ht="36" customHeight="1" x14ac:dyDescent="0.25">
      <c r="A4" s="304">
        <v>2</v>
      </c>
      <c r="B4" s="330" t="s">
        <v>200</v>
      </c>
      <c r="C4" s="382" t="s">
        <v>965</v>
      </c>
      <c r="D4" s="90" t="s">
        <v>963</v>
      </c>
      <c r="E4" s="386" t="s">
        <v>966</v>
      </c>
    </row>
    <row r="5" spans="1:5" ht="39" customHeight="1" x14ac:dyDescent="0.25">
      <c r="A5" s="303"/>
      <c r="B5" s="332"/>
      <c r="C5" s="383"/>
      <c r="D5" s="92" t="s">
        <v>964</v>
      </c>
      <c r="E5" s="387"/>
    </row>
  </sheetData>
  <mergeCells count="8">
    <mergeCell ref="A2:A3"/>
    <mergeCell ref="B2:B3"/>
    <mergeCell ref="C2:C3"/>
    <mergeCell ref="E2:E3"/>
    <mergeCell ref="A4:A5"/>
    <mergeCell ref="B4:B5"/>
    <mergeCell ref="C4:C5"/>
    <mergeCell ref="E4:E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4BEC-2A94-4ED0-8315-7FF38C5F44B4}">
  <dimension ref="A1:E4"/>
  <sheetViews>
    <sheetView workbookViewId="0">
      <selection activeCell="E17" sqref="E17"/>
    </sheetView>
  </sheetViews>
  <sheetFormatPr defaultRowHeight="15" x14ac:dyDescent="0.25"/>
  <cols>
    <col min="2" max="2" width="35.42578125" customWidth="1"/>
    <col min="3" max="3" width="85" customWidth="1"/>
    <col min="4" max="4" width="25.42578125" customWidth="1"/>
    <col min="5" max="5" width="23.5703125" customWidth="1"/>
  </cols>
  <sheetData>
    <row r="1" spans="1:5" x14ac:dyDescent="0.25">
      <c r="A1" s="32" t="s">
        <v>116</v>
      </c>
      <c r="B1" s="32" t="s">
        <v>17</v>
      </c>
      <c r="C1" s="32" t="s">
        <v>2</v>
      </c>
      <c r="D1" s="107" t="s">
        <v>957</v>
      </c>
      <c r="E1" s="33" t="s">
        <v>156</v>
      </c>
    </row>
    <row r="2" spans="1:5" ht="60" customHeight="1" x14ac:dyDescent="0.25">
      <c r="A2" s="28">
        <v>1</v>
      </c>
      <c r="B2" s="102" t="s">
        <v>217</v>
      </c>
      <c r="C2" s="122" t="s">
        <v>962</v>
      </c>
      <c r="D2" s="28" t="s">
        <v>967</v>
      </c>
      <c r="E2" s="121" t="s">
        <v>960</v>
      </c>
    </row>
    <row r="3" spans="1:5" ht="33" customHeight="1" x14ac:dyDescent="0.25">
      <c r="A3" s="304">
        <v>2</v>
      </c>
      <c r="B3" s="330" t="s">
        <v>200</v>
      </c>
      <c r="C3" s="382" t="s">
        <v>965</v>
      </c>
      <c r="D3" s="304" t="s">
        <v>968</v>
      </c>
      <c r="E3" s="386" t="s">
        <v>966</v>
      </c>
    </row>
    <row r="4" spans="1:5" ht="36" customHeight="1" x14ac:dyDescent="0.25">
      <c r="A4" s="303"/>
      <c r="B4" s="332"/>
      <c r="C4" s="383"/>
      <c r="D4" s="303"/>
      <c r="E4" s="387"/>
    </row>
  </sheetData>
  <mergeCells count="5">
    <mergeCell ref="A3:A4"/>
    <mergeCell ref="B3:B4"/>
    <mergeCell ref="C3:C4"/>
    <mergeCell ref="E3:E4"/>
    <mergeCell ref="D3:D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A6C70-1E10-49FC-BCDC-CAEA85FF3AB6}">
  <dimension ref="A1:F2"/>
  <sheetViews>
    <sheetView workbookViewId="0">
      <selection activeCell="D14" sqref="D14"/>
    </sheetView>
  </sheetViews>
  <sheetFormatPr defaultRowHeight="15" x14ac:dyDescent="0.25"/>
  <cols>
    <col min="2" max="2" width="26.140625" customWidth="1"/>
    <col min="3" max="3" width="92.85546875" customWidth="1"/>
    <col min="4" max="4" width="14" customWidth="1"/>
    <col min="5" max="5" width="26.5703125" customWidth="1"/>
    <col min="6" max="6" width="28.5703125" customWidth="1"/>
  </cols>
  <sheetData>
    <row r="1" spans="1:6" x14ac:dyDescent="0.25">
      <c r="A1" s="32" t="s">
        <v>116</v>
      </c>
      <c r="B1" s="32" t="s">
        <v>17</v>
      </c>
      <c r="C1" s="32" t="s">
        <v>2</v>
      </c>
      <c r="D1" s="32" t="s">
        <v>969</v>
      </c>
      <c r="E1" s="33" t="s">
        <v>957</v>
      </c>
      <c r="F1" s="33" t="s">
        <v>156</v>
      </c>
    </row>
    <row r="2" spans="1:6" ht="60" customHeight="1" x14ac:dyDescent="0.25">
      <c r="A2" s="28">
        <v>1</v>
      </c>
      <c r="B2" s="102" t="s">
        <v>217</v>
      </c>
      <c r="C2" s="122" t="s">
        <v>962</v>
      </c>
      <c r="D2" s="28" t="s">
        <v>970</v>
      </c>
      <c r="E2" s="28" t="s">
        <v>971</v>
      </c>
      <c r="F2" s="34" t="s">
        <v>972</v>
      </c>
    </row>
  </sheetData>
  <hyperlinks>
    <hyperlink ref="D1" location="'CU Plane Coupling - Use_cases'!A1" display="Use cases " xr:uid="{743C82DD-A59F-4611-A65B-D513EC2B0FFE}"/>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55B7-5AB8-4F2B-BB6F-418307C9DAEF}">
  <dimension ref="B1:R187"/>
  <sheetViews>
    <sheetView zoomScale="90" zoomScaleNormal="90" workbookViewId="0">
      <pane xSplit="2" ySplit="1" topLeftCell="I2" activePane="bottomRight" state="frozen"/>
      <selection pane="topRight" activeCell="C1" sqref="C1"/>
      <selection pane="bottomLeft" activeCell="A2" sqref="A2"/>
      <selection pane="bottomRight" activeCell="N3" sqref="N3:N5"/>
    </sheetView>
  </sheetViews>
  <sheetFormatPr defaultColWidth="8.85546875" defaultRowHeight="15" x14ac:dyDescent="0.25"/>
  <cols>
    <col min="1" max="2" width="8.85546875" style="44"/>
    <col min="3" max="3" width="14.5703125" style="44" bestFit="1" customWidth="1"/>
    <col min="4" max="4" width="18.5703125" style="44" bestFit="1" customWidth="1"/>
    <col min="5" max="5" width="9" style="44" bestFit="1" customWidth="1"/>
    <col min="6" max="6" width="13.42578125" style="44" bestFit="1" customWidth="1"/>
    <col min="7" max="7" width="7" style="44" bestFit="1" customWidth="1"/>
    <col min="8" max="8" width="11.42578125" style="44" bestFit="1" customWidth="1"/>
    <col min="9" max="9" width="23.5703125" style="44" bestFit="1" customWidth="1"/>
    <col min="10" max="10" width="14.42578125" style="44" customWidth="1"/>
    <col min="11" max="11" width="69.42578125" style="44" bestFit="1" customWidth="1"/>
    <col min="12" max="12" width="23.5703125" style="44" bestFit="1" customWidth="1"/>
    <col min="13" max="15" width="36.85546875" style="44" customWidth="1"/>
    <col min="16" max="16" width="8.85546875" style="44"/>
    <col min="17" max="17" width="17.140625" style="44" customWidth="1"/>
    <col min="18" max="18" width="17.140625" style="44" bestFit="1" customWidth="1"/>
    <col min="19" max="16384" width="8.85546875" style="44"/>
  </cols>
  <sheetData>
    <row r="1" spans="2:18" ht="27.6" customHeight="1" thickBot="1" x14ac:dyDescent="0.3">
      <c r="B1" s="46" t="s">
        <v>116</v>
      </c>
      <c r="C1" s="46" t="s">
        <v>117</v>
      </c>
      <c r="D1" s="47" t="s">
        <v>973</v>
      </c>
      <c r="E1" s="46" t="s">
        <v>119</v>
      </c>
      <c r="F1" s="46" t="s">
        <v>121</v>
      </c>
      <c r="G1" s="46" t="s">
        <v>122</v>
      </c>
      <c r="H1" s="46" t="s">
        <v>123</v>
      </c>
      <c r="I1" s="47" t="s">
        <v>974</v>
      </c>
      <c r="J1" s="47" t="s">
        <v>975</v>
      </c>
      <c r="K1" s="46" t="s">
        <v>2</v>
      </c>
      <c r="L1" s="49" t="s">
        <v>153</v>
      </c>
      <c r="M1" s="47" t="s">
        <v>976</v>
      </c>
      <c r="N1" s="47" t="s">
        <v>156</v>
      </c>
      <c r="O1" s="47" t="s">
        <v>977</v>
      </c>
    </row>
    <row r="2" spans="2:18" ht="19.350000000000001" customHeight="1" thickBot="1" x14ac:dyDescent="0.3">
      <c r="B2" s="53"/>
      <c r="C2" s="389" t="s">
        <v>978</v>
      </c>
      <c r="D2" s="389"/>
      <c r="E2" s="389"/>
      <c r="F2" s="389"/>
      <c r="G2" s="389"/>
      <c r="H2" s="389"/>
      <c r="I2" s="389"/>
      <c r="J2" s="389"/>
      <c r="K2" s="389"/>
      <c r="L2" s="389"/>
      <c r="M2" s="389"/>
      <c r="N2" s="389"/>
      <c r="O2" s="390"/>
    </row>
    <row r="3" spans="2:18" x14ac:dyDescent="0.25">
      <c r="B3" s="395">
        <v>1</v>
      </c>
      <c r="C3" s="36">
        <v>1</v>
      </c>
      <c r="D3" s="36">
        <v>1</v>
      </c>
      <c r="E3" s="36">
        <v>0</v>
      </c>
      <c r="F3" s="36">
        <v>0</v>
      </c>
      <c r="G3" s="36">
        <v>0</v>
      </c>
      <c r="H3" s="36">
        <v>14</v>
      </c>
      <c r="I3" s="36">
        <v>0</v>
      </c>
      <c r="J3" s="36">
        <v>273</v>
      </c>
      <c r="K3" s="394" t="s">
        <v>979</v>
      </c>
      <c r="L3" s="392" t="s">
        <v>980</v>
      </c>
      <c r="M3" s="392" t="s">
        <v>221</v>
      </c>
      <c r="N3" s="347"/>
      <c r="O3" s="392"/>
    </row>
    <row r="4" spans="2:18" x14ac:dyDescent="0.25">
      <c r="B4" s="302"/>
      <c r="C4" s="35">
        <v>1</v>
      </c>
      <c r="D4" s="35">
        <v>1</v>
      </c>
      <c r="E4" s="35">
        <v>0</v>
      </c>
      <c r="F4" s="35">
        <v>0</v>
      </c>
      <c r="G4" s="35">
        <v>0</v>
      </c>
      <c r="H4" s="35" t="s">
        <v>131</v>
      </c>
      <c r="I4" s="35">
        <v>0</v>
      </c>
      <c r="J4" s="35">
        <v>182</v>
      </c>
      <c r="K4" s="307"/>
      <c r="L4" s="393"/>
      <c r="M4" s="393"/>
      <c r="N4" s="347"/>
      <c r="O4" s="393"/>
      <c r="P4" s="37"/>
      <c r="Q4" s="2" t="s">
        <v>133</v>
      </c>
      <c r="R4" t="s">
        <v>134</v>
      </c>
    </row>
    <row r="5" spans="2:18" x14ac:dyDescent="0.25">
      <c r="B5" s="302"/>
      <c r="C5" s="35">
        <v>2</v>
      </c>
      <c r="D5" s="35">
        <v>1</v>
      </c>
      <c r="E5" s="35">
        <v>0</v>
      </c>
      <c r="F5" s="35">
        <v>0</v>
      </c>
      <c r="G5" s="35">
        <v>0</v>
      </c>
      <c r="H5" s="35" t="s">
        <v>131</v>
      </c>
      <c r="I5" s="35">
        <v>182</v>
      </c>
      <c r="J5" s="35">
        <v>91</v>
      </c>
      <c r="K5" s="307"/>
      <c r="L5" s="393"/>
      <c r="M5" s="393"/>
      <c r="N5" s="347"/>
      <c r="O5" s="393"/>
    </row>
    <row r="6" spans="2:18" x14ac:dyDescent="0.25">
      <c r="B6" s="305">
        <v>2</v>
      </c>
      <c r="C6" s="34">
        <v>1</v>
      </c>
      <c r="D6" s="34">
        <v>1</v>
      </c>
      <c r="E6" s="34">
        <v>0</v>
      </c>
      <c r="F6" s="34">
        <v>0</v>
      </c>
      <c r="G6" s="34">
        <v>0</v>
      </c>
      <c r="H6" s="34">
        <v>1</v>
      </c>
      <c r="I6" s="34">
        <v>0</v>
      </c>
      <c r="J6" s="34">
        <v>273</v>
      </c>
      <c r="K6" s="305" t="s">
        <v>981</v>
      </c>
      <c r="L6" s="306" t="s">
        <v>982</v>
      </c>
      <c r="M6" s="306" t="s">
        <v>983</v>
      </c>
      <c r="N6" s="29"/>
      <c r="O6" s="306"/>
    </row>
    <row r="7" spans="2:18" x14ac:dyDescent="0.25">
      <c r="B7" s="305"/>
      <c r="C7" s="34">
        <v>2</v>
      </c>
      <c r="D7" s="34">
        <v>1</v>
      </c>
      <c r="E7" s="34">
        <v>0</v>
      </c>
      <c r="F7" s="34">
        <v>1</v>
      </c>
      <c r="G7" s="34">
        <v>0</v>
      </c>
      <c r="H7" s="34">
        <v>1</v>
      </c>
      <c r="I7" s="34">
        <v>0</v>
      </c>
      <c r="J7" s="34">
        <v>273</v>
      </c>
      <c r="K7" s="305"/>
      <c r="L7" s="306"/>
      <c r="M7" s="306"/>
      <c r="N7" s="29"/>
      <c r="O7" s="306"/>
    </row>
    <row r="8" spans="2:18" x14ac:dyDescent="0.25">
      <c r="B8" s="305"/>
      <c r="C8" s="34" t="s">
        <v>984</v>
      </c>
      <c r="D8" s="34" t="s">
        <v>984</v>
      </c>
      <c r="E8" s="34" t="s">
        <v>984</v>
      </c>
      <c r="F8" s="34" t="s">
        <v>984</v>
      </c>
      <c r="G8" s="34" t="s">
        <v>984</v>
      </c>
      <c r="H8" s="34" t="s">
        <v>984</v>
      </c>
      <c r="I8" s="34" t="s">
        <v>984</v>
      </c>
      <c r="J8" s="34" t="s">
        <v>984</v>
      </c>
      <c r="K8" s="305"/>
      <c r="L8" s="306"/>
      <c r="M8" s="306"/>
      <c r="N8" s="29"/>
      <c r="O8" s="306"/>
    </row>
    <row r="9" spans="2:18" x14ac:dyDescent="0.25">
      <c r="B9" s="305"/>
      <c r="C9" s="34">
        <v>14</v>
      </c>
      <c r="D9" s="34">
        <v>1</v>
      </c>
      <c r="E9" s="34">
        <v>0</v>
      </c>
      <c r="F9" s="34">
        <v>13</v>
      </c>
      <c r="G9" s="34">
        <v>0</v>
      </c>
      <c r="H9" s="34">
        <v>1</v>
      </c>
      <c r="I9" s="34">
        <v>0</v>
      </c>
      <c r="J9" s="34">
        <v>273</v>
      </c>
      <c r="K9" s="305"/>
      <c r="L9" s="306"/>
      <c r="M9" s="306"/>
      <c r="N9" s="29"/>
      <c r="O9" s="306"/>
    </row>
    <row r="10" spans="2:18" x14ac:dyDescent="0.25">
      <c r="B10" s="305"/>
      <c r="C10" s="35">
        <v>1</v>
      </c>
      <c r="D10" s="35">
        <v>1</v>
      </c>
      <c r="E10" s="35">
        <v>0</v>
      </c>
      <c r="F10" s="35">
        <v>0</v>
      </c>
      <c r="G10" s="35">
        <v>0</v>
      </c>
      <c r="H10" s="35" t="s">
        <v>131</v>
      </c>
      <c r="I10" s="35">
        <v>0</v>
      </c>
      <c r="J10" s="35">
        <v>182</v>
      </c>
      <c r="K10" s="305"/>
      <c r="L10" s="306"/>
      <c r="M10" s="306"/>
      <c r="N10" s="29"/>
      <c r="O10" s="306"/>
    </row>
    <row r="11" spans="2:18" x14ac:dyDescent="0.25">
      <c r="B11" s="305"/>
      <c r="C11" s="35">
        <v>2</v>
      </c>
      <c r="D11" s="35">
        <v>1</v>
      </c>
      <c r="E11" s="35">
        <v>0</v>
      </c>
      <c r="F11" s="35">
        <v>0</v>
      </c>
      <c r="G11" s="35">
        <v>0</v>
      </c>
      <c r="H11" s="35" t="s">
        <v>131</v>
      </c>
      <c r="I11" s="35">
        <v>182</v>
      </c>
      <c r="J11" s="35">
        <v>91</v>
      </c>
      <c r="K11" s="305"/>
      <c r="L11" s="306"/>
      <c r="M11" s="306"/>
      <c r="N11" s="29"/>
      <c r="O11" s="306"/>
    </row>
    <row r="12" spans="2:18" x14ac:dyDescent="0.25">
      <c r="B12" s="305"/>
      <c r="C12" s="43" t="s">
        <v>984</v>
      </c>
      <c r="D12" s="43" t="s">
        <v>984</v>
      </c>
      <c r="E12" s="43" t="s">
        <v>984</v>
      </c>
      <c r="F12" s="43" t="s">
        <v>984</v>
      </c>
      <c r="G12" s="43" t="s">
        <v>984</v>
      </c>
      <c r="H12" s="43" t="s">
        <v>984</v>
      </c>
      <c r="I12" s="43" t="s">
        <v>984</v>
      </c>
      <c r="J12" s="43" t="s">
        <v>984</v>
      </c>
      <c r="K12" s="305"/>
      <c r="L12" s="306"/>
      <c r="M12" s="306"/>
      <c r="N12" s="29"/>
      <c r="O12" s="306"/>
    </row>
    <row r="13" spans="2:18" x14ac:dyDescent="0.25">
      <c r="B13" s="305"/>
      <c r="C13" s="35">
        <v>40</v>
      </c>
      <c r="D13" s="35">
        <v>1</v>
      </c>
      <c r="E13" s="35">
        <v>0</v>
      </c>
      <c r="F13" s="35">
        <v>13</v>
      </c>
      <c r="G13" s="35">
        <v>0</v>
      </c>
      <c r="H13" s="35" t="s">
        <v>131</v>
      </c>
      <c r="I13" s="35">
        <v>0</v>
      </c>
      <c r="J13" s="35">
        <v>182</v>
      </c>
      <c r="K13" s="305"/>
      <c r="L13" s="306"/>
      <c r="M13" s="306"/>
      <c r="N13" s="29"/>
      <c r="O13" s="306"/>
    </row>
    <row r="14" spans="2:18" x14ac:dyDescent="0.25">
      <c r="B14" s="305"/>
      <c r="C14" s="35">
        <v>41</v>
      </c>
      <c r="D14" s="35">
        <v>1</v>
      </c>
      <c r="E14" s="35">
        <v>0</v>
      </c>
      <c r="F14" s="35">
        <v>13</v>
      </c>
      <c r="G14" s="35">
        <v>0</v>
      </c>
      <c r="H14" s="35" t="s">
        <v>131</v>
      </c>
      <c r="I14" s="35">
        <v>182</v>
      </c>
      <c r="J14" s="35">
        <v>91</v>
      </c>
      <c r="K14" s="305"/>
      <c r="L14" s="306"/>
      <c r="M14" s="306"/>
      <c r="N14" s="29"/>
      <c r="O14" s="306"/>
    </row>
    <row r="15" spans="2:18" x14ac:dyDescent="0.25">
      <c r="B15" s="305">
        <v>3</v>
      </c>
      <c r="C15" s="310">
        <v>1</v>
      </c>
      <c r="D15" s="310">
        <v>21</v>
      </c>
      <c r="E15" s="34">
        <v>0</v>
      </c>
      <c r="F15" s="34">
        <v>0</v>
      </c>
      <c r="G15" s="34">
        <v>0</v>
      </c>
      <c r="H15" s="34">
        <v>14</v>
      </c>
      <c r="I15" s="34">
        <v>0</v>
      </c>
      <c r="J15" s="34">
        <v>13</v>
      </c>
      <c r="K15" s="306" t="s">
        <v>985</v>
      </c>
      <c r="L15" s="306" t="s">
        <v>986</v>
      </c>
      <c r="M15" s="306" t="s">
        <v>987</v>
      </c>
      <c r="N15" s="29"/>
      <c r="O15" s="306"/>
    </row>
    <row r="16" spans="2:18" x14ac:dyDescent="0.25">
      <c r="B16" s="305"/>
      <c r="C16" s="311"/>
      <c r="D16" s="311"/>
      <c r="E16" s="34">
        <v>1</v>
      </c>
      <c r="F16" s="34">
        <v>0</v>
      </c>
      <c r="G16" s="34">
        <v>0</v>
      </c>
      <c r="H16" s="34">
        <v>14</v>
      </c>
      <c r="I16" s="34">
        <v>13</v>
      </c>
      <c r="J16" s="34">
        <v>13</v>
      </c>
      <c r="K16" s="305"/>
      <c r="L16" s="306"/>
      <c r="M16" s="306"/>
      <c r="N16" s="29"/>
      <c r="O16" s="306"/>
    </row>
    <row r="17" spans="2:15" x14ac:dyDescent="0.25">
      <c r="B17" s="305"/>
      <c r="C17" s="311"/>
      <c r="D17" s="311"/>
      <c r="E17" s="34" t="s">
        <v>984</v>
      </c>
      <c r="F17" s="34" t="s">
        <v>984</v>
      </c>
      <c r="G17" s="34" t="s">
        <v>984</v>
      </c>
      <c r="H17" s="34" t="s">
        <v>984</v>
      </c>
      <c r="I17" s="34" t="s">
        <v>984</v>
      </c>
      <c r="J17" s="34" t="s">
        <v>984</v>
      </c>
      <c r="K17" s="305"/>
      <c r="L17" s="306"/>
      <c r="M17" s="306"/>
      <c r="N17" s="29"/>
      <c r="O17" s="306"/>
    </row>
    <row r="18" spans="2:15" x14ac:dyDescent="0.25">
      <c r="B18" s="305"/>
      <c r="C18" s="312"/>
      <c r="D18" s="312"/>
      <c r="E18" s="34">
        <v>20</v>
      </c>
      <c r="F18" s="34">
        <v>0</v>
      </c>
      <c r="G18" s="34">
        <v>0</v>
      </c>
      <c r="H18" s="34">
        <v>14</v>
      </c>
      <c r="I18" s="34">
        <v>260</v>
      </c>
      <c r="J18" s="34">
        <v>13</v>
      </c>
      <c r="K18" s="305"/>
      <c r="L18" s="306"/>
      <c r="M18" s="306"/>
      <c r="N18" s="29"/>
      <c r="O18" s="306"/>
    </row>
    <row r="19" spans="2:15" x14ac:dyDescent="0.25">
      <c r="B19" s="305"/>
      <c r="C19" s="315">
        <v>1</v>
      </c>
      <c r="D19" s="315">
        <v>14</v>
      </c>
      <c r="E19" s="35">
        <v>0</v>
      </c>
      <c r="F19" s="35">
        <v>0</v>
      </c>
      <c r="G19" s="35">
        <v>0</v>
      </c>
      <c r="H19" s="35" t="s">
        <v>131</v>
      </c>
      <c r="I19" s="35">
        <v>0</v>
      </c>
      <c r="J19" s="35">
        <v>13</v>
      </c>
      <c r="K19" s="305"/>
      <c r="L19" s="306"/>
      <c r="M19" s="306"/>
      <c r="N19" s="29"/>
      <c r="O19" s="306"/>
    </row>
    <row r="20" spans="2:15" x14ac:dyDescent="0.25">
      <c r="B20" s="305"/>
      <c r="C20" s="318"/>
      <c r="D20" s="318"/>
      <c r="E20" s="43" t="s">
        <v>984</v>
      </c>
      <c r="F20" s="43" t="s">
        <v>984</v>
      </c>
      <c r="G20" s="43" t="s">
        <v>984</v>
      </c>
      <c r="H20" s="43" t="s">
        <v>984</v>
      </c>
      <c r="I20" s="43" t="s">
        <v>984</v>
      </c>
      <c r="J20" s="43" t="s">
        <v>984</v>
      </c>
      <c r="K20" s="305"/>
      <c r="L20" s="306"/>
      <c r="M20" s="306"/>
      <c r="N20" s="29"/>
      <c r="O20" s="306"/>
    </row>
    <row r="21" spans="2:15" x14ac:dyDescent="0.25">
      <c r="B21" s="305"/>
      <c r="C21" s="316"/>
      <c r="D21" s="316"/>
      <c r="E21" s="35">
        <v>6</v>
      </c>
      <c r="F21" s="35">
        <v>0</v>
      </c>
      <c r="G21" s="35">
        <v>0</v>
      </c>
      <c r="H21" s="35" t="s">
        <v>131</v>
      </c>
      <c r="I21" s="35">
        <v>169</v>
      </c>
      <c r="J21" s="35">
        <v>13</v>
      </c>
      <c r="K21" s="305"/>
      <c r="L21" s="306"/>
      <c r="M21" s="306"/>
      <c r="N21" s="29"/>
      <c r="O21" s="306"/>
    </row>
    <row r="22" spans="2:15" x14ac:dyDescent="0.25">
      <c r="B22" s="305"/>
      <c r="C22" s="315">
        <v>2</v>
      </c>
      <c r="D22" s="315">
        <v>7</v>
      </c>
      <c r="E22" s="35">
        <v>14</v>
      </c>
      <c r="F22" s="35">
        <v>0</v>
      </c>
      <c r="G22" s="35">
        <v>0</v>
      </c>
      <c r="H22" s="35" t="s">
        <v>131</v>
      </c>
      <c r="I22" s="35">
        <v>182</v>
      </c>
      <c r="J22" s="35">
        <v>13</v>
      </c>
      <c r="K22" s="305"/>
      <c r="L22" s="306"/>
      <c r="M22" s="306"/>
      <c r="N22" s="29"/>
      <c r="O22" s="306"/>
    </row>
    <row r="23" spans="2:15" x14ac:dyDescent="0.25">
      <c r="B23" s="305"/>
      <c r="C23" s="318"/>
      <c r="D23" s="318"/>
      <c r="E23" s="43" t="s">
        <v>984</v>
      </c>
      <c r="F23" s="43" t="s">
        <v>984</v>
      </c>
      <c r="G23" s="43" t="s">
        <v>984</v>
      </c>
      <c r="H23" s="43" t="s">
        <v>984</v>
      </c>
      <c r="I23" s="43" t="s">
        <v>984</v>
      </c>
      <c r="J23" s="43" t="s">
        <v>984</v>
      </c>
      <c r="K23" s="305"/>
      <c r="L23" s="306"/>
      <c r="M23" s="306"/>
      <c r="N23" s="29"/>
      <c r="O23" s="306"/>
    </row>
    <row r="24" spans="2:15" x14ac:dyDescent="0.25">
      <c r="B24" s="305"/>
      <c r="C24" s="316"/>
      <c r="D24" s="316"/>
      <c r="E24" s="35">
        <v>20</v>
      </c>
      <c r="F24" s="35">
        <v>0</v>
      </c>
      <c r="G24" s="35">
        <v>0</v>
      </c>
      <c r="H24" s="35" t="s">
        <v>131</v>
      </c>
      <c r="I24" s="35">
        <v>260</v>
      </c>
      <c r="J24" s="35">
        <v>13</v>
      </c>
      <c r="K24" s="305"/>
      <c r="L24" s="306"/>
      <c r="M24" s="306"/>
      <c r="N24" s="29"/>
      <c r="O24" s="306"/>
    </row>
    <row r="25" spans="2:15" x14ac:dyDescent="0.25">
      <c r="B25" s="305">
        <v>4</v>
      </c>
      <c r="C25" s="310">
        <v>1</v>
      </c>
      <c r="D25" s="310">
        <v>21</v>
      </c>
      <c r="E25" s="34">
        <v>0</v>
      </c>
      <c r="F25" s="34">
        <v>0</v>
      </c>
      <c r="G25" s="34">
        <v>0</v>
      </c>
      <c r="H25" s="34">
        <v>1</v>
      </c>
      <c r="I25" s="34">
        <v>0</v>
      </c>
      <c r="J25" s="34">
        <v>13</v>
      </c>
      <c r="K25" s="306" t="s">
        <v>651</v>
      </c>
      <c r="L25" s="306" t="s">
        <v>988</v>
      </c>
      <c r="M25" s="306" t="s">
        <v>989</v>
      </c>
      <c r="N25" s="29"/>
      <c r="O25" s="306"/>
    </row>
    <row r="26" spans="2:15" x14ac:dyDescent="0.25">
      <c r="B26" s="305"/>
      <c r="C26" s="311"/>
      <c r="D26" s="311"/>
      <c r="E26" s="34">
        <v>1</v>
      </c>
      <c r="F26" s="34">
        <v>0</v>
      </c>
      <c r="G26" s="34">
        <v>0</v>
      </c>
      <c r="H26" s="34">
        <v>1</v>
      </c>
      <c r="I26" s="34">
        <v>13</v>
      </c>
      <c r="J26" s="34">
        <v>13</v>
      </c>
      <c r="K26" s="305"/>
      <c r="L26" s="306"/>
      <c r="M26" s="306"/>
      <c r="N26" s="29"/>
      <c r="O26" s="306"/>
    </row>
    <row r="27" spans="2:15" x14ac:dyDescent="0.25">
      <c r="B27" s="305"/>
      <c r="C27" s="311"/>
      <c r="D27" s="311"/>
      <c r="E27" s="34" t="s">
        <v>984</v>
      </c>
      <c r="F27" s="34" t="s">
        <v>984</v>
      </c>
      <c r="G27" s="34" t="s">
        <v>984</v>
      </c>
      <c r="H27" s="34" t="s">
        <v>984</v>
      </c>
      <c r="I27" s="34" t="s">
        <v>984</v>
      </c>
      <c r="J27" s="34" t="s">
        <v>984</v>
      </c>
      <c r="K27" s="305"/>
      <c r="L27" s="306"/>
      <c r="M27" s="306"/>
      <c r="N27" s="29"/>
      <c r="O27" s="306"/>
    </row>
    <row r="28" spans="2:15" x14ac:dyDescent="0.25">
      <c r="B28" s="305"/>
      <c r="C28" s="312"/>
      <c r="D28" s="312"/>
      <c r="E28" s="34">
        <v>20</v>
      </c>
      <c r="F28" s="34">
        <v>0</v>
      </c>
      <c r="G28" s="34">
        <v>0</v>
      </c>
      <c r="H28" s="34">
        <v>1</v>
      </c>
      <c r="I28" s="34">
        <v>260</v>
      </c>
      <c r="J28" s="34">
        <v>13</v>
      </c>
      <c r="K28" s="305"/>
      <c r="L28" s="306"/>
      <c r="M28" s="306"/>
      <c r="N28" s="29"/>
      <c r="O28" s="306"/>
    </row>
    <row r="29" spans="2:15" x14ac:dyDescent="0.25">
      <c r="B29" s="305"/>
      <c r="C29" s="310">
        <v>2</v>
      </c>
      <c r="D29" s="310">
        <v>21</v>
      </c>
      <c r="E29" s="34">
        <v>0</v>
      </c>
      <c r="F29" s="34">
        <v>1</v>
      </c>
      <c r="G29" s="34">
        <v>0</v>
      </c>
      <c r="H29" s="34">
        <v>1</v>
      </c>
      <c r="I29" s="34">
        <v>0</v>
      </c>
      <c r="J29" s="34">
        <v>13</v>
      </c>
      <c r="K29" s="305"/>
      <c r="L29" s="306"/>
      <c r="M29" s="306"/>
      <c r="N29" s="29"/>
      <c r="O29" s="306"/>
    </row>
    <row r="30" spans="2:15" x14ac:dyDescent="0.25">
      <c r="B30" s="305"/>
      <c r="C30" s="311"/>
      <c r="D30" s="311"/>
      <c r="E30" s="34">
        <v>1</v>
      </c>
      <c r="F30" s="34">
        <v>1</v>
      </c>
      <c r="G30" s="34">
        <v>0</v>
      </c>
      <c r="H30" s="34">
        <v>1</v>
      </c>
      <c r="I30" s="34">
        <v>13</v>
      </c>
      <c r="J30" s="34">
        <v>13</v>
      </c>
      <c r="K30" s="305"/>
      <c r="L30" s="306"/>
      <c r="M30" s="306"/>
      <c r="N30" s="29"/>
      <c r="O30" s="306"/>
    </row>
    <row r="31" spans="2:15" x14ac:dyDescent="0.25">
      <c r="B31" s="305"/>
      <c r="C31" s="311"/>
      <c r="D31" s="311"/>
      <c r="E31" s="34" t="s">
        <v>984</v>
      </c>
      <c r="F31" s="34" t="s">
        <v>984</v>
      </c>
      <c r="G31" s="34" t="s">
        <v>984</v>
      </c>
      <c r="H31" s="34" t="s">
        <v>984</v>
      </c>
      <c r="I31" s="34" t="s">
        <v>984</v>
      </c>
      <c r="J31" s="34" t="s">
        <v>984</v>
      </c>
      <c r="K31" s="305"/>
      <c r="L31" s="306"/>
      <c r="M31" s="306"/>
      <c r="N31" s="29"/>
      <c r="O31" s="306"/>
    </row>
    <row r="32" spans="2:15" x14ac:dyDescent="0.25">
      <c r="B32" s="305"/>
      <c r="C32" s="312"/>
      <c r="D32" s="312"/>
      <c r="E32" s="34">
        <v>20</v>
      </c>
      <c r="F32" s="34">
        <v>1</v>
      </c>
      <c r="G32" s="34">
        <v>0</v>
      </c>
      <c r="H32" s="34">
        <v>1</v>
      </c>
      <c r="I32" s="34">
        <v>260</v>
      </c>
      <c r="J32" s="34">
        <v>13</v>
      </c>
      <c r="K32" s="305"/>
      <c r="L32" s="306"/>
      <c r="M32" s="306"/>
      <c r="N32" s="29"/>
      <c r="O32" s="306"/>
    </row>
    <row r="33" spans="2:15" x14ac:dyDescent="0.25">
      <c r="B33" s="305"/>
      <c r="C33" s="34" t="s">
        <v>984</v>
      </c>
      <c r="D33" s="34" t="s">
        <v>984</v>
      </c>
      <c r="E33" s="34" t="s">
        <v>984</v>
      </c>
      <c r="F33" s="34" t="s">
        <v>984</v>
      </c>
      <c r="G33" s="34" t="s">
        <v>984</v>
      </c>
      <c r="H33" s="34" t="s">
        <v>984</v>
      </c>
      <c r="I33" s="34" t="s">
        <v>984</v>
      </c>
      <c r="J33" s="34" t="s">
        <v>984</v>
      </c>
      <c r="K33" s="305"/>
      <c r="L33" s="306"/>
      <c r="M33" s="306"/>
      <c r="N33" s="29"/>
      <c r="O33" s="306"/>
    </row>
    <row r="34" spans="2:15" x14ac:dyDescent="0.25">
      <c r="B34" s="305"/>
      <c r="C34" s="310">
        <v>14</v>
      </c>
      <c r="D34" s="310">
        <v>21</v>
      </c>
      <c r="E34" s="34">
        <v>0</v>
      </c>
      <c r="F34" s="34">
        <v>13</v>
      </c>
      <c r="G34" s="34">
        <v>0</v>
      </c>
      <c r="H34" s="34">
        <v>1</v>
      </c>
      <c r="I34" s="34">
        <v>0</v>
      </c>
      <c r="J34" s="34">
        <v>13</v>
      </c>
      <c r="K34" s="305"/>
      <c r="L34" s="306"/>
      <c r="M34" s="306"/>
      <c r="N34" s="29"/>
      <c r="O34" s="306"/>
    </row>
    <row r="35" spans="2:15" x14ac:dyDescent="0.25">
      <c r="B35" s="305"/>
      <c r="C35" s="311"/>
      <c r="D35" s="311"/>
      <c r="E35" s="34">
        <v>1</v>
      </c>
      <c r="F35" s="34">
        <v>13</v>
      </c>
      <c r="G35" s="34">
        <v>0</v>
      </c>
      <c r="H35" s="34">
        <v>1</v>
      </c>
      <c r="I35" s="34">
        <v>13</v>
      </c>
      <c r="J35" s="34">
        <v>13</v>
      </c>
      <c r="K35" s="305"/>
      <c r="L35" s="306"/>
      <c r="M35" s="306"/>
      <c r="N35" s="29"/>
      <c r="O35" s="306"/>
    </row>
    <row r="36" spans="2:15" x14ac:dyDescent="0.25">
      <c r="B36" s="305"/>
      <c r="C36" s="311"/>
      <c r="D36" s="311"/>
      <c r="E36" s="34" t="s">
        <v>984</v>
      </c>
      <c r="F36" s="34" t="s">
        <v>984</v>
      </c>
      <c r="G36" s="34" t="s">
        <v>984</v>
      </c>
      <c r="H36" s="34" t="s">
        <v>984</v>
      </c>
      <c r="I36" s="34" t="s">
        <v>984</v>
      </c>
      <c r="J36" s="34" t="s">
        <v>984</v>
      </c>
      <c r="K36" s="305"/>
      <c r="L36" s="306"/>
      <c r="M36" s="306"/>
      <c r="N36" s="29"/>
      <c r="O36" s="306"/>
    </row>
    <row r="37" spans="2:15" x14ac:dyDescent="0.25">
      <c r="B37" s="305"/>
      <c r="C37" s="312"/>
      <c r="D37" s="312"/>
      <c r="E37" s="34">
        <v>20</v>
      </c>
      <c r="F37" s="34">
        <v>13</v>
      </c>
      <c r="G37" s="34">
        <v>0</v>
      </c>
      <c r="H37" s="34">
        <v>1</v>
      </c>
      <c r="I37" s="34">
        <v>260</v>
      </c>
      <c r="J37" s="34">
        <v>13</v>
      </c>
      <c r="K37" s="305"/>
      <c r="L37" s="306"/>
      <c r="M37" s="306"/>
      <c r="N37" s="29"/>
      <c r="O37" s="306"/>
    </row>
    <row r="38" spans="2:15" x14ac:dyDescent="0.25">
      <c r="B38" s="305"/>
      <c r="C38" s="315">
        <v>1</v>
      </c>
      <c r="D38" s="315">
        <v>14</v>
      </c>
      <c r="E38" s="35">
        <v>0</v>
      </c>
      <c r="F38" s="35">
        <v>0</v>
      </c>
      <c r="G38" s="35">
        <v>0</v>
      </c>
      <c r="H38" s="35" t="s">
        <v>131</v>
      </c>
      <c r="I38" s="35">
        <v>0</v>
      </c>
      <c r="J38" s="35">
        <v>13</v>
      </c>
      <c r="K38" s="305"/>
      <c r="L38" s="306"/>
      <c r="M38" s="306"/>
      <c r="N38" s="29"/>
      <c r="O38" s="306"/>
    </row>
    <row r="39" spans="2:15" x14ac:dyDescent="0.25">
      <c r="B39" s="305"/>
      <c r="C39" s="318"/>
      <c r="D39" s="318"/>
      <c r="E39" s="43" t="s">
        <v>984</v>
      </c>
      <c r="F39" s="43" t="s">
        <v>984</v>
      </c>
      <c r="G39" s="43" t="s">
        <v>984</v>
      </c>
      <c r="H39" s="43" t="s">
        <v>984</v>
      </c>
      <c r="I39" s="43" t="s">
        <v>984</v>
      </c>
      <c r="J39" s="43" t="s">
        <v>984</v>
      </c>
      <c r="K39" s="305"/>
      <c r="L39" s="306"/>
      <c r="M39" s="306"/>
      <c r="N39" s="29"/>
      <c r="O39" s="306"/>
    </row>
    <row r="40" spans="2:15" x14ac:dyDescent="0.25">
      <c r="B40" s="305"/>
      <c r="C40" s="316"/>
      <c r="D40" s="316"/>
      <c r="E40" s="35">
        <v>6</v>
      </c>
      <c r="F40" s="35">
        <v>0</v>
      </c>
      <c r="G40" s="35">
        <v>0</v>
      </c>
      <c r="H40" s="35" t="s">
        <v>131</v>
      </c>
      <c r="I40" s="35">
        <v>169</v>
      </c>
      <c r="J40" s="35">
        <v>13</v>
      </c>
      <c r="K40" s="305"/>
      <c r="L40" s="306"/>
      <c r="M40" s="306"/>
      <c r="N40" s="29"/>
      <c r="O40" s="306"/>
    </row>
    <row r="41" spans="2:15" x14ac:dyDescent="0.25">
      <c r="B41" s="305"/>
      <c r="C41" s="315">
        <v>2</v>
      </c>
      <c r="D41" s="315">
        <v>7</v>
      </c>
      <c r="E41" s="35">
        <v>14</v>
      </c>
      <c r="F41" s="35">
        <v>0</v>
      </c>
      <c r="G41" s="35">
        <v>0</v>
      </c>
      <c r="H41" s="35" t="s">
        <v>131</v>
      </c>
      <c r="I41" s="35">
        <v>182</v>
      </c>
      <c r="J41" s="35">
        <v>13</v>
      </c>
      <c r="K41" s="305"/>
      <c r="L41" s="306"/>
      <c r="M41" s="306"/>
      <c r="N41" s="29"/>
      <c r="O41" s="306"/>
    </row>
    <row r="42" spans="2:15" x14ac:dyDescent="0.25">
      <c r="B42" s="305"/>
      <c r="C42" s="318"/>
      <c r="D42" s="318"/>
      <c r="E42" s="43" t="s">
        <v>984</v>
      </c>
      <c r="F42" s="43" t="s">
        <v>984</v>
      </c>
      <c r="G42" s="43" t="s">
        <v>984</v>
      </c>
      <c r="H42" s="43" t="s">
        <v>984</v>
      </c>
      <c r="I42" s="43" t="s">
        <v>984</v>
      </c>
      <c r="J42" s="43" t="s">
        <v>984</v>
      </c>
      <c r="K42" s="305"/>
      <c r="L42" s="306"/>
      <c r="M42" s="306"/>
      <c r="N42" s="29"/>
      <c r="O42" s="306"/>
    </row>
    <row r="43" spans="2:15" x14ac:dyDescent="0.25">
      <c r="B43" s="305"/>
      <c r="C43" s="316"/>
      <c r="D43" s="316"/>
      <c r="E43" s="35">
        <v>20</v>
      </c>
      <c r="F43" s="35">
        <v>0</v>
      </c>
      <c r="G43" s="35">
        <v>0</v>
      </c>
      <c r="H43" s="35" t="s">
        <v>131</v>
      </c>
      <c r="I43" s="35">
        <v>260</v>
      </c>
      <c r="J43" s="35">
        <v>13</v>
      </c>
      <c r="K43" s="305"/>
      <c r="L43" s="306"/>
      <c r="M43" s="306"/>
      <c r="N43" s="29"/>
      <c r="O43" s="306"/>
    </row>
    <row r="44" spans="2:15" x14ac:dyDescent="0.25">
      <c r="B44" s="305">
        <v>5</v>
      </c>
      <c r="C44" s="310">
        <v>1</v>
      </c>
      <c r="D44" s="310">
        <v>7</v>
      </c>
      <c r="E44" s="34">
        <v>0</v>
      </c>
      <c r="F44" s="34">
        <v>0</v>
      </c>
      <c r="G44" s="34">
        <v>1</v>
      </c>
      <c r="H44" s="34">
        <v>2</v>
      </c>
      <c r="I44" s="34">
        <v>0</v>
      </c>
      <c r="J44" s="34">
        <v>273</v>
      </c>
      <c r="K44" s="306" t="s">
        <v>990</v>
      </c>
      <c r="L44" s="306" t="s">
        <v>991</v>
      </c>
      <c r="M44" s="306" t="s">
        <v>992</v>
      </c>
      <c r="N44" s="29"/>
      <c r="O44" s="306"/>
    </row>
    <row r="45" spans="2:15" x14ac:dyDescent="0.25">
      <c r="B45" s="305"/>
      <c r="C45" s="311"/>
      <c r="D45" s="311"/>
      <c r="E45" s="34">
        <v>1</v>
      </c>
      <c r="F45" s="34">
        <v>2</v>
      </c>
      <c r="G45" s="34">
        <v>1</v>
      </c>
      <c r="H45" s="34">
        <v>2</v>
      </c>
      <c r="I45" s="34">
        <v>0</v>
      </c>
      <c r="J45" s="34">
        <v>273</v>
      </c>
      <c r="K45" s="305"/>
      <c r="L45" s="306"/>
      <c r="M45" s="306"/>
      <c r="N45" s="29"/>
      <c r="O45" s="306"/>
    </row>
    <row r="46" spans="2:15" x14ac:dyDescent="0.25">
      <c r="B46" s="305"/>
      <c r="C46" s="311"/>
      <c r="D46" s="311"/>
      <c r="E46" s="34" t="s">
        <v>984</v>
      </c>
      <c r="F46" s="34" t="s">
        <v>984</v>
      </c>
      <c r="G46" s="34" t="s">
        <v>984</v>
      </c>
      <c r="H46" s="34" t="s">
        <v>984</v>
      </c>
      <c r="I46" s="34" t="s">
        <v>984</v>
      </c>
      <c r="J46" s="34" t="s">
        <v>984</v>
      </c>
      <c r="K46" s="305"/>
      <c r="L46" s="306"/>
      <c r="M46" s="306"/>
      <c r="N46" s="29"/>
      <c r="O46" s="306"/>
    </row>
    <row r="47" spans="2:15" x14ac:dyDescent="0.25">
      <c r="B47" s="305"/>
      <c r="C47" s="312"/>
      <c r="D47" s="312"/>
      <c r="E47" s="34">
        <v>6</v>
      </c>
      <c r="F47" s="34">
        <v>12</v>
      </c>
      <c r="G47" s="34">
        <v>1</v>
      </c>
      <c r="H47" s="34">
        <v>2</v>
      </c>
      <c r="I47" s="34">
        <v>0</v>
      </c>
      <c r="J47" s="34">
        <v>273</v>
      </c>
      <c r="K47" s="305"/>
      <c r="L47" s="306"/>
      <c r="M47" s="306"/>
      <c r="N47" s="29"/>
      <c r="O47" s="306"/>
    </row>
    <row r="48" spans="2:15" x14ac:dyDescent="0.25">
      <c r="B48" s="305"/>
      <c r="C48" s="35">
        <v>1</v>
      </c>
      <c r="D48" s="35">
        <v>1</v>
      </c>
      <c r="E48" s="35">
        <v>0</v>
      </c>
      <c r="F48" s="35">
        <v>0</v>
      </c>
      <c r="G48" s="35">
        <v>0</v>
      </c>
      <c r="H48" s="35" t="s">
        <v>131</v>
      </c>
      <c r="I48" s="35">
        <v>0</v>
      </c>
      <c r="J48" s="35">
        <v>182</v>
      </c>
      <c r="K48" s="305"/>
      <c r="L48" s="306"/>
      <c r="M48" s="306"/>
      <c r="N48" s="29"/>
      <c r="O48" s="306"/>
    </row>
    <row r="49" spans="2:15" x14ac:dyDescent="0.25">
      <c r="B49" s="305"/>
      <c r="C49" s="35">
        <v>2</v>
      </c>
      <c r="D49" s="35">
        <v>1</v>
      </c>
      <c r="E49" s="35">
        <v>0</v>
      </c>
      <c r="F49" s="35">
        <v>0</v>
      </c>
      <c r="G49" s="35">
        <v>0</v>
      </c>
      <c r="H49" s="35" t="s">
        <v>131</v>
      </c>
      <c r="I49" s="35">
        <v>182</v>
      </c>
      <c r="J49" s="35">
        <v>91</v>
      </c>
      <c r="K49" s="305"/>
      <c r="L49" s="306"/>
      <c r="M49" s="306"/>
      <c r="N49" s="29"/>
      <c r="O49" s="306"/>
    </row>
    <row r="50" spans="2:15" x14ac:dyDescent="0.25">
      <c r="B50" s="305"/>
      <c r="C50" s="43" t="s">
        <v>984</v>
      </c>
      <c r="D50" s="43" t="s">
        <v>984</v>
      </c>
      <c r="E50" s="43" t="s">
        <v>984</v>
      </c>
      <c r="F50" s="43" t="s">
        <v>984</v>
      </c>
      <c r="G50" s="43" t="s">
        <v>984</v>
      </c>
      <c r="H50" s="43" t="s">
        <v>984</v>
      </c>
      <c r="I50" s="43" t="s">
        <v>984</v>
      </c>
      <c r="J50" s="43" t="s">
        <v>984</v>
      </c>
      <c r="K50" s="305"/>
      <c r="L50" s="306"/>
      <c r="M50" s="306"/>
      <c r="N50" s="29"/>
      <c r="O50" s="306"/>
    </row>
    <row r="51" spans="2:15" x14ac:dyDescent="0.25">
      <c r="B51" s="305"/>
      <c r="C51" s="35">
        <v>40</v>
      </c>
      <c r="D51" s="35">
        <v>1</v>
      </c>
      <c r="E51" s="35">
        <v>6</v>
      </c>
      <c r="F51" s="35">
        <v>13</v>
      </c>
      <c r="G51" s="35">
        <v>0</v>
      </c>
      <c r="H51" s="35" t="s">
        <v>131</v>
      </c>
      <c r="I51" s="35">
        <v>0</v>
      </c>
      <c r="J51" s="35">
        <v>182</v>
      </c>
      <c r="K51" s="305"/>
      <c r="L51" s="306"/>
      <c r="M51" s="306"/>
      <c r="N51" s="29"/>
      <c r="O51" s="306"/>
    </row>
    <row r="52" spans="2:15" x14ac:dyDescent="0.25">
      <c r="B52" s="305"/>
      <c r="C52" s="35">
        <v>42</v>
      </c>
      <c r="D52" s="35">
        <v>1</v>
      </c>
      <c r="E52" s="35">
        <v>6</v>
      </c>
      <c r="F52" s="35">
        <v>13</v>
      </c>
      <c r="G52" s="35">
        <v>0</v>
      </c>
      <c r="H52" s="35" t="s">
        <v>131</v>
      </c>
      <c r="I52" s="35">
        <v>182</v>
      </c>
      <c r="J52" s="35">
        <v>91</v>
      </c>
      <c r="K52" s="305"/>
      <c r="L52" s="306"/>
      <c r="M52" s="306"/>
      <c r="N52" s="29"/>
      <c r="O52" s="306"/>
    </row>
    <row r="53" spans="2:15" x14ac:dyDescent="0.25">
      <c r="B53" s="305">
        <v>6</v>
      </c>
      <c r="C53" s="310">
        <v>1</v>
      </c>
      <c r="D53" s="310">
        <v>21</v>
      </c>
      <c r="E53" s="34">
        <v>0</v>
      </c>
      <c r="F53" s="34">
        <v>0</v>
      </c>
      <c r="G53" s="34">
        <v>0</v>
      </c>
      <c r="H53" s="34">
        <v>1</v>
      </c>
      <c r="I53" s="34">
        <v>26</v>
      </c>
      <c r="J53" s="34">
        <v>13</v>
      </c>
      <c r="K53" s="306" t="s">
        <v>993</v>
      </c>
      <c r="L53" s="306" t="s">
        <v>994</v>
      </c>
      <c r="M53" s="306" t="s">
        <v>995</v>
      </c>
      <c r="N53" s="29"/>
      <c r="O53" s="306"/>
    </row>
    <row r="54" spans="2:15" x14ac:dyDescent="0.25">
      <c r="B54" s="305"/>
      <c r="C54" s="311"/>
      <c r="D54" s="311"/>
      <c r="E54" s="34">
        <v>1</v>
      </c>
      <c r="F54" s="34">
        <v>0</v>
      </c>
      <c r="G54" s="34">
        <v>0</v>
      </c>
      <c r="H54" s="34">
        <v>1</v>
      </c>
      <c r="I54" s="34">
        <v>13</v>
      </c>
      <c r="J54" s="34">
        <v>13</v>
      </c>
      <c r="K54" s="305"/>
      <c r="L54" s="306"/>
      <c r="M54" s="306"/>
      <c r="N54" s="29"/>
      <c r="O54" s="306"/>
    </row>
    <row r="55" spans="2:15" x14ac:dyDescent="0.25">
      <c r="B55" s="305"/>
      <c r="C55" s="311"/>
      <c r="D55" s="311"/>
      <c r="E55" s="34" t="s">
        <v>984</v>
      </c>
      <c r="F55" s="34" t="s">
        <v>984</v>
      </c>
      <c r="G55" s="34" t="s">
        <v>984</v>
      </c>
      <c r="H55" s="34" t="s">
        <v>984</v>
      </c>
      <c r="I55" s="34" t="s">
        <v>984</v>
      </c>
      <c r="J55" s="34" t="s">
        <v>984</v>
      </c>
      <c r="K55" s="305"/>
      <c r="L55" s="306"/>
      <c r="M55" s="306"/>
      <c r="N55" s="29"/>
      <c r="O55" s="306"/>
    </row>
    <row r="56" spans="2:15" x14ac:dyDescent="0.25">
      <c r="B56" s="305"/>
      <c r="C56" s="312"/>
      <c r="D56" s="312"/>
      <c r="E56" s="34">
        <v>20</v>
      </c>
      <c r="F56" s="34">
        <v>0</v>
      </c>
      <c r="G56" s="34">
        <v>0</v>
      </c>
      <c r="H56" s="34">
        <v>1</v>
      </c>
      <c r="I56" s="34">
        <v>260</v>
      </c>
      <c r="J56" s="34">
        <v>13</v>
      </c>
      <c r="K56" s="305"/>
      <c r="L56" s="306"/>
      <c r="M56" s="306"/>
      <c r="N56" s="29"/>
      <c r="O56" s="306"/>
    </row>
    <row r="57" spans="2:15" x14ac:dyDescent="0.25">
      <c r="B57" s="305"/>
      <c r="C57" s="34" t="s">
        <v>984</v>
      </c>
      <c r="D57" s="34" t="s">
        <v>984</v>
      </c>
      <c r="E57" s="34" t="s">
        <v>984</v>
      </c>
      <c r="F57" s="34" t="s">
        <v>984</v>
      </c>
      <c r="G57" s="34" t="s">
        <v>984</v>
      </c>
      <c r="H57" s="34" t="s">
        <v>984</v>
      </c>
      <c r="I57" s="34" t="s">
        <v>984</v>
      </c>
      <c r="J57" s="34" t="s">
        <v>984</v>
      </c>
      <c r="K57" s="305"/>
      <c r="L57" s="306"/>
      <c r="M57" s="306"/>
      <c r="N57" s="29"/>
      <c r="O57" s="306"/>
    </row>
    <row r="58" spans="2:15" x14ac:dyDescent="0.25">
      <c r="B58" s="305"/>
      <c r="C58" s="315">
        <v>1</v>
      </c>
      <c r="D58" s="315">
        <v>7</v>
      </c>
      <c r="E58" s="35">
        <v>0</v>
      </c>
      <c r="F58" s="35">
        <v>0</v>
      </c>
      <c r="G58" s="35">
        <v>0</v>
      </c>
      <c r="H58" s="35" t="s">
        <v>131</v>
      </c>
      <c r="I58" s="35">
        <v>0</v>
      </c>
      <c r="J58" s="35">
        <v>13</v>
      </c>
      <c r="K58" s="305"/>
      <c r="L58" s="306"/>
      <c r="M58" s="306"/>
      <c r="N58" s="29"/>
      <c r="O58" s="306"/>
    </row>
    <row r="59" spans="2:15" x14ac:dyDescent="0.25">
      <c r="B59" s="305"/>
      <c r="C59" s="318"/>
      <c r="D59" s="318"/>
      <c r="E59" s="43" t="s">
        <v>984</v>
      </c>
      <c r="F59" s="43" t="s">
        <v>984</v>
      </c>
      <c r="G59" s="43" t="s">
        <v>984</v>
      </c>
      <c r="H59" s="43" t="s">
        <v>984</v>
      </c>
      <c r="I59" s="43" t="s">
        <v>984</v>
      </c>
      <c r="J59" s="43" t="s">
        <v>984</v>
      </c>
      <c r="K59" s="305"/>
      <c r="L59" s="306"/>
      <c r="M59" s="306"/>
      <c r="N59" s="29"/>
      <c r="O59" s="306"/>
    </row>
    <row r="60" spans="2:15" x14ac:dyDescent="0.25">
      <c r="B60" s="305"/>
      <c r="C60" s="316"/>
      <c r="D60" s="316"/>
      <c r="E60" s="35">
        <v>6</v>
      </c>
      <c r="F60" s="35">
        <v>0</v>
      </c>
      <c r="G60" s="35">
        <v>0</v>
      </c>
      <c r="H60" s="35" t="s">
        <v>131</v>
      </c>
      <c r="I60" s="35">
        <v>78</v>
      </c>
      <c r="J60" s="35">
        <v>13</v>
      </c>
      <c r="K60" s="305"/>
      <c r="L60" s="306"/>
      <c r="M60" s="306"/>
      <c r="N60" s="29"/>
      <c r="O60" s="306"/>
    </row>
    <row r="61" spans="2:15" x14ac:dyDescent="0.25">
      <c r="B61" s="305"/>
      <c r="C61" s="43" t="s">
        <v>984</v>
      </c>
      <c r="D61" s="43" t="s">
        <v>984</v>
      </c>
      <c r="E61" s="43" t="s">
        <v>984</v>
      </c>
      <c r="F61" s="43" t="s">
        <v>984</v>
      </c>
      <c r="G61" s="43" t="s">
        <v>984</v>
      </c>
      <c r="H61" s="43" t="s">
        <v>984</v>
      </c>
      <c r="I61" s="43" t="s">
        <v>984</v>
      </c>
      <c r="J61" s="43" t="s">
        <v>984</v>
      </c>
      <c r="K61" s="305"/>
      <c r="L61" s="306"/>
      <c r="M61" s="306"/>
      <c r="N61" s="29"/>
      <c r="O61" s="306"/>
    </row>
    <row r="62" spans="2:15" x14ac:dyDescent="0.25">
      <c r="B62" s="305"/>
      <c r="C62" s="315">
        <v>3</v>
      </c>
      <c r="D62" s="315">
        <v>7</v>
      </c>
      <c r="E62" s="35">
        <v>14</v>
      </c>
      <c r="F62" s="35">
        <v>0</v>
      </c>
      <c r="G62" s="35">
        <v>0</v>
      </c>
      <c r="H62" s="35" t="s">
        <v>131</v>
      </c>
      <c r="I62" s="35">
        <v>182</v>
      </c>
      <c r="J62" s="35">
        <v>13</v>
      </c>
      <c r="K62" s="305"/>
      <c r="L62" s="306"/>
      <c r="M62" s="306"/>
      <c r="N62" s="29"/>
      <c r="O62" s="306"/>
    </row>
    <row r="63" spans="2:15" x14ac:dyDescent="0.25">
      <c r="B63" s="305"/>
      <c r="C63" s="318"/>
      <c r="D63" s="318"/>
      <c r="E63" s="43" t="s">
        <v>984</v>
      </c>
      <c r="F63" s="43" t="s">
        <v>984</v>
      </c>
      <c r="G63" s="43" t="s">
        <v>984</v>
      </c>
      <c r="H63" s="43" t="s">
        <v>984</v>
      </c>
      <c r="I63" s="43" t="s">
        <v>984</v>
      </c>
      <c r="J63" s="43" t="s">
        <v>984</v>
      </c>
      <c r="K63" s="305"/>
      <c r="L63" s="306"/>
      <c r="M63" s="306"/>
      <c r="N63" s="29"/>
      <c r="O63" s="306"/>
    </row>
    <row r="64" spans="2:15" x14ac:dyDescent="0.25">
      <c r="B64" s="305"/>
      <c r="C64" s="316"/>
      <c r="D64" s="316"/>
      <c r="E64" s="35">
        <v>20</v>
      </c>
      <c r="F64" s="35">
        <v>0</v>
      </c>
      <c r="G64" s="35">
        <v>0</v>
      </c>
      <c r="H64" s="35" t="s">
        <v>131</v>
      </c>
      <c r="I64" s="35">
        <v>260</v>
      </c>
      <c r="J64" s="35">
        <v>13</v>
      </c>
      <c r="K64" s="305"/>
      <c r="L64" s="306"/>
      <c r="M64" s="306"/>
      <c r="N64" s="29"/>
      <c r="O64" s="306"/>
    </row>
    <row r="65" spans="2:15" x14ac:dyDescent="0.25">
      <c r="B65" s="305">
        <v>7</v>
      </c>
      <c r="C65" s="310">
        <v>1</v>
      </c>
      <c r="D65" s="310">
        <v>14</v>
      </c>
      <c r="E65" s="34">
        <v>0</v>
      </c>
      <c r="F65" s="34">
        <v>0</v>
      </c>
      <c r="G65" s="34">
        <v>0</v>
      </c>
      <c r="H65" s="34">
        <v>1</v>
      </c>
      <c r="I65" s="34">
        <v>0</v>
      </c>
      <c r="J65" s="34">
        <v>13</v>
      </c>
      <c r="K65" s="306" t="s">
        <v>996</v>
      </c>
      <c r="L65" s="306" t="s">
        <v>988</v>
      </c>
      <c r="M65" s="306" t="s">
        <v>997</v>
      </c>
      <c r="N65" s="29"/>
      <c r="O65" s="306"/>
    </row>
    <row r="66" spans="2:15" x14ac:dyDescent="0.25">
      <c r="B66" s="305"/>
      <c r="C66" s="311"/>
      <c r="D66" s="311"/>
      <c r="E66" s="34">
        <v>1</v>
      </c>
      <c r="F66" s="34">
        <v>0</v>
      </c>
      <c r="G66" s="34">
        <v>0</v>
      </c>
      <c r="H66" s="34">
        <v>1</v>
      </c>
      <c r="I66" s="34">
        <v>26</v>
      </c>
      <c r="J66" s="34">
        <v>13</v>
      </c>
      <c r="K66" s="305"/>
      <c r="L66" s="306"/>
      <c r="M66" s="306"/>
      <c r="N66" s="29"/>
      <c r="O66" s="306"/>
    </row>
    <row r="67" spans="2:15" x14ac:dyDescent="0.25">
      <c r="B67" s="305"/>
      <c r="C67" s="311"/>
      <c r="D67" s="311"/>
      <c r="E67" s="34" t="s">
        <v>984</v>
      </c>
      <c r="F67" s="34" t="s">
        <v>984</v>
      </c>
      <c r="G67" s="34" t="s">
        <v>984</v>
      </c>
      <c r="H67" s="34" t="s">
        <v>984</v>
      </c>
      <c r="I67" s="34" t="s">
        <v>984</v>
      </c>
      <c r="J67" s="34" t="s">
        <v>984</v>
      </c>
      <c r="K67" s="305"/>
      <c r="L67" s="306"/>
      <c r="M67" s="306"/>
      <c r="N67" s="29"/>
      <c r="O67" s="306"/>
    </row>
    <row r="68" spans="2:15" x14ac:dyDescent="0.25">
      <c r="B68" s="305"/>
      <c r="C68" s="312"/>
      <c r="D68" s="312"/>
      <c r="E68" s="34">
        <v>13</v>
      </c>
      <c r="F68" s="34">
        <v>0</v>
      </c>
      <c r="G68" s="34">
        <v>0</v>
      </c>
      <c r="H68" s="34">
        <v>1</v>
      </c>
      <c r="I68" s="34">
        <v>260</v>
      </c>
      <c r="J68" s="34">
        <v>13</v>
      </c>
      <c r="K68" s="305"/>
      <c r="L68" s="306"/>
      <c r="M68" s="306"/>
      <c r="N68" s="29"/>
      <c r="O68" s="306"/>
    </row>
    <row r="69" spans="2:15" x14ac:dyDescent="0.25">
      <c r="B69" s="305"/>
      <c r="C69" s="34" t="s">
        <v>984</v>
      </c>
      <c r="D69" s="34" t="s">
        <v>984</v>
      </c>
      <c r="E69" s="34" t="s">
        <v>984</v>
      </c>
      <c r="F69" s="34" t="s">
        <v>984</v>
      </c>
      <c r="G69" s="34" t="s">
        <v>984</v>
      </c>
      <c r="H69" s="34" t="s">
        <v>984</v>
      </c>
      <c r="I69" s="34" t="s">
        <v>984</v>
      </c>
      <c r="J69" s="34" t="s">
        <v>984</v>
      </c>
      <c r="K69" s="305"/>
      <c r="L69" s="306"/>
      <c r="M69" s="306"/>
      <c r="N69" s="29"/>
      <c r="O69" s="306"/>
    </row>
    <row r="70" spans="2:15" x14ac:dyDescent="0.25">
      <c r="B70" s="305"/>
      <c r="C70" s="315">
        <v>1</v>
      </c>
      <c r="D70" s="315">
        <v>7</v>
      </c>
      <c r="E70" s="35">
        <v>0</v>
      </c>
      <c r="F70" s="35">
        <v>0</v>
      </c>
      <c r="G70" s="35">
        <v>0</v>
      </c>
      <c r="H70" s="35" t="s">
        <v>131</v>
      </c>
      <c r="I70" s="35">
        <v>0</v>
      </c>
      <c r="J70" s="35">
        <v>13</v>
      </c>
      <c r="K70" s="305"/>
      <c r="L70" s="306"/>
      <c r="M70" s="306"/>
      <c r="N70" s="29"/>
      <c r="O70" s="306"/>
    </row>
    <row r="71" spans="2:15" x14ac:dyDescent="0.25">
      <c r="B71" s="305"/>
      <c r="C71" s="318"/>
      <c r="D71" s="318"/>
      <c r="E71" s="43" t="s">
        <v>984</v>
      </c>
      <c r="F71" s="43" t="s">
        <v>984</v>
      </c>
      <c r="G71" s="43" t="s">
        <v>984</v>
      </c>
      <c r="H71" s="43" t="s">
        <v>984</v>
      </c>
      <c r="I71" s="43" t="s">
        <v>984</v>
      </c>
      <c r="J71" s="43" t="s">
        <v>984</v>
      </c>
      <c r="K71" s="305"/>
      <c r="L71" s="306"/>
      <c r="M71" s="306"/>
      <c r="N71" s="29"/>
      <c r="O71" s="306"/>
    </row>
    <row r="72" spans="2:15" x14ac:dyDescent="0.25">
      <c r="B72" s="305"/>
      <c r="C72" s="316"/>
      <c r="D72" s="316"/>
      <c r="E72" s="35">
        <v>6</v>
      </c>
      <c r="F72" s="35">
        <v>0</v>
      </c>
      <c r="G72" s="35">
        <v>0</v>
      </c>
      <c r="H72" s="35" t="s">
        <v>131</v>
      </c>
      <c r="I72" s="35">
        <v>130</v>
      </c>
      <c r="J72" s="35">
        <v>13</v>
      </c>
      <c r="K72" s="305"/>
      <c r="L72" s="306"/>
      <c r="M72" s="306"/>
      <c r="N72" s="29"/>
      <c r="O72" s="306"/>
    </row>
    <row r="73" spans="2:15" x14ac:dyDescent="0.25">
      <c r="B73" s="305"/>
      <c r="C73" s="315">
        <v>2</v>
      </c>
      <c r="D73" s="315">
        <v>7</v>
      </c>
      <c r="E73" s="35">
        <v>7</v>
      </c>
      <c r="F73" s="35">
        <v>0</v>
      </c>
      <c r="G73" s="35">
        <v>0</v>
      </c>
      <c r="H73" s="35" t="s">
        <v>131</v>
      </c>
      <c r="I73" s="35">
        <v>143</v>
      </c>
      <c r="J73" s="35">
        <v>13</v>
      </c>
      <c r="K73" s="305"/>
      <c r="L73" s="306"/>
      <c r="M73" s="306"/>
      <c r="N73" s="29"/>
      <c r="O73" s="306"/>
    </row>
    <row r="74" spans="2:15" x14ac:dyDescent="0.25">
      <c r="B74" s="305"/>
      <c r="C74" s="318"/>
      <c r="D74" s="318"/>
      <c r="E74" s="43" t="s">
        <v>984</v>
      </c>
      <c r="F74" s="43" t="s">
        <v>984</v>
      </c>
      <c r="G74" s="43" t="s">
        <v>984</v>
      </c>
      <c r="H74" s="43" t="s">
        <v>984</v>
      </c>
      <c r="I74" s="43" t="s">
        <v>984</v>
      </c>
      <c r="J74" s="43" t="s">
        <v>984</v>
      </c>
      <c r="K74" s="305"/>
      <c r="L74" s="306"/>
      <c r="M74" s="306"/>
      <c r="N74" s="29"/>
      <c r="O74" s="306"/>
    </row>
    <row r="75" spans="2:15" x14ac:dyDescent="0.25">
      <c r="B75" s="305"/>
      <c r="C75" s="316"/>
      <c r="D75" s="316"/>
      <c r="E75" s="35">
        <v>13</v>
      </c>
      <c r="F75" s="35">
        <v>0</v>
      </c>
      <c r="G75" s="35">
        <v>0</v>
      </c>
      <c r="H75" s="35" t="s">
        <v>131</v>
      </c>
      <c r="I75" s="35">
        <v>260</v>
      </c>
      <c r="J75" s="35">
        <v>13</v>
      </c>
      <c r="K75" s="305"/>
      <c r="L75" s="306"/>
      <c r="M75" s="306"/>
      <c r="N75" s="29"/>
      <c r="O75" s="306"/>
    </row>
    <row r="76" spans="2:15" x14ac:dyDescent="0.25">
      <c r="B76" s="305">
        <v>8</v>
      </c>
      <c r="C76" s="310">
        <v>1</v>
      </c>
      <c r="D76" s="310">
        <v>14</v>
      </c>
      <c r="E76" s="34">
        <v>0</v>
      </c>
      <c r="F76" s="34">
        <v>0</v>
      </c>
      <c r="G76" s="34">
        <v>0</v>
      </c>
      <c r="H76" s="34">
        <v>1</v>
      </c>
      <c r="I76" s="34">
        <v>26</v>
      </c>
      <c r="J76" s="34">
        <v>13</v>
      </c>
      <c r="K76" s="306" t="s">
        <v>998</v>
      </c>
      <c r="L76" s="306" t="s">
        <v>994</v>
      </c>
      <c r="M76" s="306" t="s">
        <v>999</v>
      </c>
      <c r="N76" s="29"/>
      <c r="O76" s="306"/>
    </row>
    <row r="77" spans="2:15" x14ac:dyDescent="0.25">
      <c r="B77" s="305"/>
      <c r="C77" s="311"/>
      <c r="D77" s="311"/>
      <c r="E77" s="34">
        <v>1</v>
      </c>
      <c r="F77" s="34">
        <v>0</v>
      </c>
      <c r="G77" s="34">
        <v>0</v>
      </c>
      <c r="H77" s="34">
        <v>1</v>
      </c>
      <c r="I77" s="34">
        <v>0</v>
      </c>
      <c r="J77" s="34">
        <v>13</v>
      </c>
      <c r="K77" s="305"/>
      <c r="L77" s="306"/>
      <c r="M77" s="306"/>
      <c r="N77" s="29"/>
      <c r="O77" s="306"/>
    </row>
    <row r="78" spans="2:15" x14ac:dyDescent="0.25">
      <c r="B78" s="305"/>
      <c r="C78" s="311"/>
      <c r="D78" s="311"/>
      <c r="E78" s="34" t="s">
        <v>984</v>
      </c>
      <c r="F78" s="34" t="s">
        <v>984</v>
      </c>
      <c r="G78" s="34" t="s">
        <v>984</v>
      </c>
      <c r="H78" s="34" t="s">
        <v>984</v>
      </c>
      <c r="I78" s="34" t="s">
        <v>984</v>
      </c>
      <c r="J78" s="34" t="s">
        <v>984</v>
      </c>
      <c r="K78" s="305"/>
      <c r="L78" s="306"/>
      <c r="M78" s="306"/>
      <c r="N78" s="29"/>
      <c r="O78" s="306"/>
    </row>
    <row r="79" spans="2:15" x14ac:dyDescent="0.25">
      <c r="B79" s="305"/>
      <c r="C79" s="312"/>
      <c r="D79" s="312"/>
      <c r="E79" s="34">
        <v>13</v>
      </c>
      <c r="F79" s="34">
        <v>0</v>
      </c>
      <c r="G79" s="34">
        <v>0</v>
      </c>
      <c r="H79" s="34">
        <v>1</v>
      </c>
      <c r="I79" s="34">
        <v>247</v>
      </c>
      <c r="J79" s="34">
        <v>13</v>
      </c>
      <c r="K79" s="305"/>
      <c r="L79" s="306"/>
      <c r="M79" s="306"/>
      <c r="N79" s="29"/>
      <c r="O79" s="306"/>
    </row>
    <row r="80" spans="2:15" x14ac:dyDescent="0.25">
      <c r="B80" s="305"/>
      <c r="C80" s="315">
        <v>1</v>
      </c>
      <c r="D80" s="315">
        <v>7</v>
      </c>
      <c r="E80" s="35">
        <v>0</v>
      </c>
      <c r="F80" s="35">
        <v>0</v>
      </c>
      <c r="G80" s="35">
        <v>0</v>
      </c>
      <c r="H80" s="35" t="s">
        <v>131</v>
      </c>
      <c r="I80" s="35">
        <v>0</v>
      </c>
      <c r="J80" s="35">
        <v>13</v>
      </c>
      <c r="K80" s="305"/>
      <c r="L80" s="306"/>
      <c r="M80" s="306"/>
      <c r="N80" s="29"/>
      <c r="O80" s="306"/>
    </row>
    <row r="81" spans="2:15" x14ac:dyDescent="0.25">
      <c r="B81" s="305"/>
      <c r="C81" s="318"/>
      <c r="D81" s="318"/>
      <c r="E81" s="43" t="s">
        <v>984</v>
      </c>
      <c r="F81" s="43" t="s">
        <v>984</v>
      </c>
      <c r="G81" s="43" t="s">
        <v>984</v>
      </c>
      <c r="H81" s="43" t="s">
        <v>984</v>
      </c>
      <c r="I81" s="43" t="s">
        <v>984</v>
      </c>
      <c r="J81" s="43" t="s">
        <v>984</v>
      </c>
      <c r="K81" s="305"/>
      <c r="L81" s="306"/>
      <c r="M81" s="306"/>
      <c r="N81" s="29"/>
      <c r="O81" s="306"/>
    </row>
    <row r="82" spans="2:15" x14ac:dyDescent="0.25">
      <c r="B82" s="305"/>
      <c r="C82" s="316"/>
      <c r="D82" s="316"/>
      <c r="E82" s="35">
        <v>13</v>
      </c>
      <c r="F82" s="35">
        <v>0</v>
      </c>
      <c r="G82" s="35">
        <v>0</v>
      </c>
      <c r="H82" s="35" t="s">
        <v>131</v>
      </c>
      <c r="I82" s="35">
        <v>169</v>
      </c>
      <c r="J82" s="35">
        <v>13</v>
      </c>
      <c r="K82" s="305"/>
      <c r="L82" s="306"/>
      <c r="M82" s="306"/>
      <c r="N82" s="29"/>
      <c r="O82" s="306"/>
    </row>
    <row r="83" spans="2:15" x14ac:dyDescent="0.25">
      <c r="B83" s="305"/>
      <c r="C83" s="315">
        <v>2</v>
      </c>
      <c r="D83" s="315">
        <v>7</v>
      </c>
      <c r="E83" s="35">
        <v>0</v>
      </c>
      <c r="F83" s="35">
        <v>0</v>
      </c>
      <c r="G83" s="35">
        <v>0</v>
      </c>
      <c r="H83" s="35" t="s">
        <v>131</v>
      </c>
      <c r="I83" s="35">
        <v>0</v>
      </c>
      <c r="J83" s="35">
        <v>13</v>
      </c>
      <c r="K83" s="305"/>
      <c r="L83" s="306"/>
      <c r="M83" s="306"/>
      <c r="N83" s="29"/>
      <c r="O83" s="306"/>
    </row>
    <row r="84" spans="2:15" x14ac:dyDescent="0.25">
      <c r="B84" s="305"/>
      <c r="C84" s="318"/>
      <c r="D84" s="318"/>
      <c r="E84" s="43" t="s">
        <v>984</v>
      </c>
      <c r="F84" s="43" t="s">
        <v>984</v>
      </c>
      <c r="G84" s="43" t="s">
        <v>984</v>
      </c>
      <c r="H84" s="43" t="s">
        <v>984</v>
      </c>
      <c r="I84" s="43" t="s">
        <v>984</v>
      </c>
      <c r="J84" s="43" t="s">
        <v>984</v>
      </c>
      <c r="K84" s="305"/>
      <c r="L84" s="306"/>
      <c r="M84" s="306"/>
      <c r="N84" s="29"/>
      <c r="O84" s="306"/>
    </row>
    <row r="85" spans="2:15" x14ac:dyDescent="0.25">
      <c r="B85" s="305"/>
      <c r="C85" s="316"/>
      <c r="D85" s="316"/>
      <c r="E85" s="35">
        <v>13</v>
      </c>
      <c r="F85" s="35">
        <v>0</v>
      </c>
      <c r="G85" s="35">
        <v>0</v>
      </c>
      <c r="H85" s="35" t="s">
        <v>131</v>
      </c>
      <c r="I85" s="35">
        <v>169</v>
      </c>
      <c r="J85" s="35">
        <v>13</v>
      </c>
      <c r="K85" s="305"/>
      <c r="L85" s="306"/>
      <c r="M85" s="306"/>
      <c r="N85" s="29"/>
      <c r="O85" s="306"/>
    </row>
    <row r="86" spans="2:15" x14ac:dyDescent="0.25">
      <c r="B86" s="391" t="s">
        <v>1000</v>
      </c>
      <c r="C86" s="34">
        <v>1</v>
      </c>
      <c r="D86" s="34">
        <v>1</v>
      </c>
      <c r="E86" s="34">
        <v>0</v>
      </c>
      <c r="F86" s="34">
        <v>0</v>
      </c>
      <c r="G86" s="34">
        <v>0</v>
      </c>
      <c r="H86" s="34">
        <v>14</v>
      </c>
      <c r="I86" s="34">
        <v>0</v>
      </c>
      <c r="J86" s="34">
        <v>273</v>
      </c>
      <c r="K86" s="305" t="s">
        <v>1001</v>
      </c>
      <c r="L86" s="306" t="s">
        <v>1002</v>
      </c>
      <c r="M86" s="306" t="s">
        <v>187</v>
      </c>
      <c r="N86" s="29"/>
      <c r="O86" s="306"/>
    </row>
    <row r="87" spans="2:15" ht="15.75" thickBot="1" x14ac:dyDescent="0.3">
      <c r="B87" s="305"/>
      <c r="C87" s="35">
        <v>1</v>
      </c>
      <c r="D87" s="35">
        <v>1</v>
      </c>
      <c r="E87" s="35">
        <v>0</v>
      </c>
      <c r="F87" s="35">
        <v>0</v>
      </c>
      <c r="G87" s="35">
        <v>0</v>
      </c>
      <c r="H87" s="35" t="s">
        <v>131</v>
      </c>
      <c r="I87" s="35">
        <v>0</v>
      </c>
      <c r="J87" s="35">
        <v>273</v>
      </c>
      <c r="K87" s="305"/>
      <c r="L87" s="306"/>
      <c r="M87" s="306"/>
      <c r="N87" s="29"/>
      <c r="O87" s="306"/>
    </row>
    <row r="88" spans="2:15" ht="15.75" thickBot="1" x14ac:dyDescent="0.3">
      <c r="B88" s="388" t="s">
        <v>1003</v>
      </c>
      <c r="C88" s="389"/>
      <c r="D88" s="389"/>
      <c r="E88" s="389"/>
      <c r="F88" s="389"/>
      <c r="G88" s="389"/>
      <c r="H88" s="389"/>
      <c r="I88" s="389"/>
      <c r="J88" s="389"/>
      <c r="K88" s="389"/>
      <c r="L88" s="389"/>
      <c r="M88" s="389"/>
      <c r="N88" s="389"/>
      <c r="O88" s="390"/>
    </row>
    <row r="89" spans="2:15" x14ac:dyDescent="0.25">
      <c r="B89" s="304">
        <v>17</v>
      </c>
      <c r="C89" s="34">
        <v>1</v>
      </c>
      <c r="D89" s="34">
        <v>1</v>
      </c>
      <c r="E89" s="34">
        <v>0</v>
      </c>
      <c r="F89" s="34">
        <v>0</v>
      </c>
      <c r="G89" s="34">
        <v>0</v>
      </c>
      <c r="H89" s="34">
        <v>14</v>
      </c>
      <c r="I89" s="34">
        <v>0</v>
      </c>
      <c r="J89" s="34">
        <v>273</v>
      </c>
      <c r="K89" s="304" t="s">
        <v>1004</v>
      </c>
      <c r="L89" s="301" t="s">
        <v>980</v>
      </c>
      <c r="M89" s="301" t="s">
        <v>1005</v>
      </c>
      <c r="N89" s="90"/>
      <c r="O89" s="301"/>
    </row>
    <row r="90" spans="2:15" x14ac:dyDescent="0.25">
      <c r="B90" s="302"/>
      <c r="C90" s="35">
        <v>1</v>
      </c>
      <c r="D90" s="35">
        <v>1</v>
      </c>
      <c r="E90" s="35">
        <v>0</v>
      </c>
      <c r="F90" s="35">
        <v>0</v>
      </c>
      <c r="G90" s="35">
        <v>0</v>
      </c>
      <c r="H90" s="35" t="s">
        <v>131</v>
      </c>
      <c r="I90" s="35">
        <v>0</v>
      </c>
      <c r="J90" s="35">
        <v>30</v>
      </c>
      <c r="K90" s="302"/>
      <c r="L90" s="307"/>
      <c r="M90" s="307"/>
      <c r="N90" s="91"/>
      <c r="O90" s="307"/>
    </row>
    <row r="91" spans="2:15" x14ac:dyDescent="0.25">
      <c r="B91" s="302"/>
      <c r="C91" s="35">
        <v>2</v>
      </c>
      <c r="D91" s="35">
        <v>1</v>
      </c>
      <c r="E91" s="35">
        <v>0</v>
      </c>
      <c r="F91" s="35">
        <v>0</v>
      </c>
      <c r="G91" s="35">
        <v>0</v>
      </c>
      <c r="H91" s="35" t="s">
        <v>131</v>
      </c>
      <c r="I91" s="35">
        <v>30</v>
      </c>
      <c r="J91" s="35">
        <v>30</v>
      </c>
      <c r="K91" s="302"/>
      <c r="L91" s="307"/>
      <c r="M91" s="307"/>
      <c r="N91" s="91"/>
      <c r="O91" s="307"/>
    </row>
    <row r="92" spans="2:15" x14ac:dyDescent="0.25">
      <c r="B92" s="302"/>
      <c r="C92" s="43" t="s">
        <v>984</v>
      </c>
      <c r="D92" s="43" t="s">
        <v>984</v>
      </c>
      <c r="E92" s="43" t="s">
        <v>984</v>
      </c>
      <c r="F92" s="43" t="s">
        <v>984</v>
      </c>
      <c r="G92" s="43" t="s">
        <v>984</v>
      </c>
      <c r="H92" s="43" t="s">
        <v>984</v>
      </c>
      <c r="I92" s="43" t="s">
        <v>984</v>
      </c>
      <c r="J92" s="43" t="s">
        <v>984</v>
      </c>
      <c r="K92" s="302"/>
      <c r="L92" s="307"/>
      <c r="M92" s="307"/>
      <c r="N92" s="91"/>
      <c r="O92" s="307"/>
    </row>
    <row r="93" spans="2:15" x14ac:dyDescent="0.25">
      <c r="B93" s="302"/>
      <c r="C93" s="35">
        <v>10</v>
      </c>
      <c r="D93" s="35">
        <v>1</v>
      </c>
      <c r="E93" s="35">
        <v>0</v>
      </c>
      <c r="F93" s="35">
        <v>0</v>
      </c>
      <c r="G93" s="35">
        <v>0</v>
      </c>
      <c r="H93" s="35" t="s">
        <v>131</v>
      </c>
      <c r="I93" s="35">
        <v>270</v>
      </c>
      <c r="J93" s="35">
        <v>3</v>
      </c>
      <c r="K93" s="302"/>
      <c r="L93" s="307"/>
      <c r="M93" s="307"/>
      <c r="N93" s="91"/>
      <c r="O93" s="307"/>
    </row>
    <row r="94" spans="2:15" x14ac:dyDescent="0.25">
      <c r="B94" s="302"/>
      <c r="C94" s="43" t="s">
        <v>984</v>
      </c>
      <c r="D94" s="43" t="s">
        <v>984</v>
      </c>
      <c r="E94" s="43" t="s">
        <v>984</v>
      </c>
      <c r="F94" s="43" t="s">
        <v>984</v>
      </c>
      <c r="G94" s="43" t="s">
        <v>984</v>
      </c>
      <c r="H94" s="43" t="s">
        <v>984</v>
      </c>
      <c r="I94" s="43" t="s">
        <v>984</v>
      </c>
      <c r="J94" s="43" t="s">
        <v>984</v>
      </c>
      <c r="K94" s="302"/>
      <c r="L94" s="307"/>
      <c r="M94" s="307"/>
      <c r="N94" s="91"/>
      <c r="O94" s="307"/>
    </row>
    <row r="95" spans="2:15" x14ac:dyDescent="0.25">
      <c r="B95" s="302"/>
      <c r="C95" s="35">
        <v>131</v>
      </c>
      <c r="D95" s="35">
        <v>1</v>
      </c>
      <c r="E95" s="35">
        <v>0</v>
      </c>
      <c r="F95" s="35">
        <v>13</v>
      </c>
      <c r="G95" s="35">
        <v>0</v>
      </c>
      <c r="H95" s="35" t="s">
        <v>131</v>
      </c>
      <c r="I95" s="35">
        <v>0</v>
      </c>
      <c r="J95" s="35">
        <v>30</v>
      </c>
      <c r="K95" s="302"/>
      <c r="L95" s="307"/>
      <c r="M95" s="307"/>
      <c r="N95" s="91"/>
      <c r="O95" s="307"/>
    </row>
    <row r="96" spans="2:15" x14ac:dyDescent="0.25">
      <c r="B96" s="302"/>
      <c r="C96" s="35">
        <v>132</v>
      </c>
      <c r="D96" s="35">
        <v>1</v>
      </c>
      <c r="E96" s="35">
        <v>0</v>
      </c>
      <c r="F96" s="35">
        <v>13</v>
      </c>
      <c r="G96" s="35">
        <v>0</v>
      </c>
      <c r="H96" s="35" t="s">
        <v>131</v>
      </c>
      <c r="I96" s="35">
        <v>30</v>
      </c>
      <c r="J96" s="35">
        <v>30</v>
      </c>
      <c r="K96" s="302"/>
      <c r="L96" s="307"/>
      <c r="M96" s="307"/>
      <c r="N96" s="91"/>
      <c r="O96" s="307"/>
    </row>
    <row r="97" spans="2:15" x14ac:dyDescent="0.25">
      <c r="B97" s="302"/>
      <c r="C97" s="43" t="s">
        <v>984</v>
      </c>
      <c r="D97" s="43" t="s">
        <v>984</v>
      </c>
      <c r="E97" s="43" t="s">
        <v>984</v>
      </c>
      <c r="F97" s="43" t="s">
        <v>984</v>
      </c>
      <c r="G97" s="43" t="s">
        <v>984</v>
      </c>
      <c r="H97" s="43" t="s">
        <v>984</v>
      </c>
      <c r="I97" s="43" t="s">
        <v>984</v>
      </c>
      <c r="J97" s="43" t="s">
        <v>984</v>
      </c>
      <c r="K97" s="302"/>
      <c r="L97" s="307"/>
      <c r="M97" s="307"/>
      <c r="N97" s="91"/>
      <c r="O97" s="307"/>
    </row>
    <row r="98" spans="2:15" x14ac:dyDescent="0.25">
      <c r="B98" s="303"/>
      <c r="C98" s="35">
        <v>140</v>
      </c>
      <c r="D98" s="35">
        <v>1</v>
      </c>
      <c r="E98" s="35">
        <v>0</v>
      </c>
      <c r="F98" s="35">
        <v>13</v>
      </c>
      <c r="G98" s="35">
        <v>0</v>
      </c>
      <c r="H98" s="35" t="s">
        <v>131</v>
      </c>
      <c r="I98" s="35">
        <v>270</v>
      </c>
      <c r="J98" s="35">
        <v>3</v>
      </c>
      <c r="K98" s="303"/>
      <c r="L98" s="308"/>
      <c r="M98" s="308"/>
      <c r="N98" s="92"/>
      <c r="O98" s="308"/>
    </row>
    <row r="99" spans="2:15" x14ac:dyDescent="0.25">
      <c r="B99" s="305">
        <v>18</v>
      </c>
      <c r="C99" s="34">
        <v>1</v>
      </c>
      <c r="D99" s="34">
        <v>1</v>
      </c>
      <c r="E99" s="34">
        <v>0</v>
      </c>
      <c r="F99" s="34">
        <v>0</v>
      </c>
      <c r="G99" s="34">
        <v>0</v>
      </c>
      <c r="H99" s="34">
        <v>1</v>
      </c>
      <c r="I99" s="34">
        <v>0</v>
      </c>
      <c r="J99" s="34">
        <v>273</v>
      </c>
      <c r="K99" s="305" t="s">
        <v>1006</v>
      </c>
      <c r="L99" s="306" t="s">
        <v>982</v>
      </c>
      <c r="M99" s="306" t="s">
        <v>1007</v>
      </c>
      <c r="N99" s="29"/>
      <c r="O99" s="306"/>
    </row>
    <row r="100" spans="2:15" x14ac:dyDescent="0.25">
      <c r="B100" s="305"/>
      <c r="C100" s="34">
        <v>2</v>
      </c>
      <c r="D100" s="34">
        <v>1</v>
      </c>
      <c r="E100" s="34">
        <v>0</v>
      </c>
      <c r="F100" s="34">
        <v>1</v>
      </c>
      <c r="G100" s="34">
        <v>0</v>
      </c>
      <c r="H100" s="34">
        <v>1</v>
      </c>
      <c r="I100" s="34">
        <v>0</v>
      </c>
      <c r="J100" s="34">
        <v>273</v>
      </c>
      <c r="K100" s="305"/>
      <c r="L100" s="306"/>
      <c r="M100" s="306"/>
      <c r="N100" s="29"/>
      <c r="O100" s="306"/>
    </row>
    <row r="101" spans="2:15" x14ac:dyDescent="0.25">
      <c r="B101" s="305"/>
      <c r="C101" s="34" t="s">
        <v>984</v>
      </c>
      <c r="D101" s="34" t="s">
        <v>984</v>
      </c>
      <c r="E101" s="34" t="s">
        <v>984</v>
      </c>
      <c r="F101" s="34" t="s">
        <v>984</v>
      </c>
      <c r="G101" s="34" t="s">
        <v>984</v>
      </c>
      <c r="H101" s="34" t="s">
        <v>984</v>
      </c>
      <c r="I101" s="34" t="s">
        <v>984</v>
      </c>
      <c r="J101" s="34" t="s">
        <v>984</v>
      </c>
      <c r="K101" s="305"/>
      <c r="L101" s="306"/>
      <c r="M101" s="306"/>
      <c r="N101" s="29"/>
      <c r="O101" s="306"/>
    </row>
    <row r="102" spans="2:15" x14ac:dyDescent="0.25">
      <c r="B102" s="305"/>
      <c r="C102" s="34">
        <v>14</v>
      </c>
      <c r="D102" s="34">
        <v>1</v>
      </c>
      <c r="E102" s="34">
        <v>0</v>
      </c>
      <c r="F102" s="34">
        <v>13</v>
      </c>
      <c r="G102" s="34">
        <v>0</v>
      </c>
      <c r="H102" s="34">
        <v>1</v>
      </c>
      <c r="I102" s="34">
        <v>0</v>
      </c>
      <c r="J102" s="34">
        <v>273</v>
      </c>
      <c r="K102" s="305"/>
      <c r="L102" s="306"/>
      <c r="M102" s="306"/>
      <c r="N102" s="29"/>
      <c r="O102" s="306"/>
    </row>
    <row r="103" spans="2:15" x14ac:dyDescent="0.25">
      <c r="B103" s="305"/>
      <c r="C103" s="35">
        <v>1</v>
      </c>
      <c r="D103" s="35">
        <v>1</v>
      </c>
      <c r="E103" s="35">
        <v>0</v>
      </c>
      <c r="F103" s="35">
        <v>0</v>
      </c>
      <c r="G103" s="35">
        <v>0</v>
      </c>
      <c r="H103" s="35" t="s">
        <v>131</v>
      </c>
      <c r="I103" s="35">
        <v>0</v>
      </c>
      <c r="J103" s="35">
        <v>30</v>
      </c>
      <c r="K103" s="305"/>
      <c r="L103" s="306"/>
      <c r="M103" s="306"/>
      <c r="N103" s="29"/>
      <c r="O103" s="306"/>
    </row>
    <row r="104" spans="2:15" x14ac:dyDescent="0.25">
      <c r="B104" s="305"/>
      <c r="C104" s="35">
        <v>2</v>
      </c>
      <c r="D104" s="35">
        <v>1</v>
      </c>
      <c r="E104" s="35">
        <v>0</v>
      </c>
      <c r="F104" s="35">
        <v>0</v>
      </c>
      <c r="G104" s="35">
        <v>0</v>
      </c>
      <c r="H104" s="35" t="s">
        <v>131</v>
      </c>
      <c r="I104" s="35">
        <v>30</v>
      </c>
      <c r="J104" s="35">
        <v>30</v>
      </c>
      <c r="K104" s="305"/>
      <c r="L104" s="306"/>
      <c r="M104" s="306"/>
      <c r="N104" s="29"/>
      <c r="O104" s="306"/>
    </row>
    <row r="105" spans="2:15" x14ac:dyDescent="0.25">
      <c r="B105" s="305"/>
      <c r="C105" s="43" t="s">
        <v>984</v>
      </c>
      <c r="D105" s="43" t="s">
        <v>984</v>
      </c>
      <c r="E105" s="43" t="s">
        <v>984</v>
      </c>
      <c r="F105" s="43" t="s">
        <v>984</v>
      </c>
      <c r="G105" s="43" t="s">
        <v>984</v>
      </c>
      <c r="H105" s="43" t="s">
        <v>984</v>
      </c>
      <c r="I105" s="43" t="s">
        <v>984</v>
      </c>
      <c r="J105" s="43" t="s">
        <v>984</v>
      </c>
      <c r="K105" s="305"/>
      <c r="L105" s="306"/>
      <c r="M105" s="306"/>
      <c r="N105" s="29"/>
      <c r="O105" s="306"/>
    </row>
    <row r="106" spans="2:15" x14ac:dyDescent="0.25">
      <c r="B106" s="305"/>
      <c r="C106" s="35">
        <v>10</v>
      </c>
      <c r="D106" s="35">
        <v>1</v>
      </c>
      <c r="E106" s="35">
        <v>0</v>
      </c>
      <c r="F106" s="35">
        <v>0</v>
      </c>
      <c r="G106" s="35">
        <v>0</v>
      </c>
      <c r="H106" s="35" t="s">
        <v>131</v>
      </c>
      <c r="I106" s="35">
        <v>270</v>
      </c>
      <c r="J106" s="35">
        <v>3</v>
      </c>
      <c r="K106" s="305"/>
      <c r="L106" s="306"/>
      <c r="M106" s="306"/>
      <c r="N106" s="29"/>
      <c r="O106" s="306"/>
    </row>
    <row r="107" spans="2:15" x14ac:dyDescent="0.25">
      <c r="B107" s="305"/>
      <c r="C107" s="43" t="s">
        <v>984</v>
      </c>
      <c r="D107" s="43" t="s">
        <v>984</v>
      </c>
      <c r="E107" s="43" t="s">
        <v>984</v>
      </c>
      <c r="F107" s="43" t="s">
        <v>984</v>
      </c>
      <c r="G107" s="43" t="s">
        <v>984</v>
      </c>
      <c r="H107" s="43" t="s">
        <v>984</v>
      </c>
      <c r="I107" s="43" t="s">
        <v>984</v>
      </c>
      <c r="J107" s="43" t="s">
        <v>984</v>
      </c>
      <c r="K107" s="305"/>
      <c r="L107" s="306"/>
      <c r="M107" s="306"/>
      <c r="N107" s="29"/>
      <c r="O107" s="306"/>
    </row>
    <row r="108" spans="2:15" x14ac:dyDescent="0.25">
      <c r="B108" s="305"/>
      <c r="C108" s="35">
        <v>131</v>
      </c>
      <c r="D108" s="35">
        <v>1</v>
      </c>
      <c r="E108" s="35">
        <v>0</v>
      </c>
      <c r="F108" s="35">
        <v>13</v>
      </c>
      <c r="G108" s="35">
        <v>0</v>
      </c>
      <c r="H108" s="35" t="s">
        <v>131</v>
      </c>
      <c r="I108" s="35">
        <v>0</v>
      </c>
      <c r="J108" s="35">
        <v>30</v>
      </c>
      <c r="K108" s="305"/>
      <c r="L108" s="306"/>
      <c r="M108" s="306"/>
      <c r="N108" s="29"/>
      <c r="O108" s="306"/>
    </row>
    <row r="109" spans="2:15" x14ac:dyDescent="0.25">
      <c r="B109" s="305"/>
      <c r="C109" s="35">
        <v>132</v>
      </c>
      <c r="D109" s="35">
        <v>1</v>
      </c>
      <c r="E109" s="35">
        <v>0</v>
      </c>
      <c r="F109" s="35">
        <v>13</v>
      </c>
      <c r="G109" s="35">
        <v>0</v>
      </c>
      <c r="H109" s="35" t="s">
        <v>131</v>
      </c>
      <c r="I109" s="35">
        <v>30</v>
      </c>
      <c r="J109" s="35">
        <v>30</v>
      </c>
      <c r="K109" s="305"/>
      <c r="L109" s="306"/>
      <c r="M109" s="306"/>
      <c r="N109" s="29"/>
      <c r="O109" s="306"/>
    </row>
    <row r="110" spans="2:15" x14ac:dyDescent="0.25">
      <c r="B110" s="305"/>
      <c r="C110" s="43" t="s">
        <v>984</v>
      </c>
      <c r="D110" s="43" t="s">
        <v>984</v>
      </c>
      <c r="E110" s="43" t="s">
        <v>984</v>
      </c>
      <c r="F110" s="43" t="s">
        <v>984</v>
      </c>
      <c r="G110" s="43" t="s">
        <v>984</v>
      </c>
      <c r="H110" s="43" t="s">
        <v>984</v>
      </c>
      <c r="I110" s="43" t="s">
        <v>984</v>
      </c>
      <c r="J110" s="43" t="s">
        <v>984</v>
      </c>
      <c r="K110" s="305"/>
      <c r="L110" s="306"/>
      <c r="M110" s="306"/>
      <c r="N110" s="29"/>
      <c r="O110" s="306"/>
    </row>
    <row r="111" spans="2:15" x14ac:dyDescent="0.25">
      <c r="B111" s="305"/>
      <c r="C111" s="35">
        <v>140</v>
      </c>
      <c r="D111" s="35">
        <v>1</v>
      </c>
      <c r="E111" s="35">
        <v>0</v>
      </c>
      <c r="F111" s="35">
        <v>13</v>
      </c>
      <c r="G111" s="35">
        <v>0</v>
      </c>
      <c r="H111" s="35" t="s">
        <v>131</v>
      </c>
      <c r="I111" s="35">
        <v>270</v>
      </c>
      <c r="J111" s="35">
        <v>3</v>
      </c>
      <c r="K111" s="305"/>
      <c r="L111" s="306"/>
      <c r="M111" s="306"/>
      <c r="N111" s="29"/>
      <c r="O111" s="306"/>
    </row>
    <row r="112" spans="2:15" x14ac:dyDescent="0.25">
      <c r="B112" s="305">
        <v>19</v>
      </c>
      <c r="C112" s="310">
        <v>1</v>
      </c>
      <c r="D112" s="310">
        <v>19</v>
      </c>
      <c r="E112" s="34">
        <v>0</v>
      </c>
      <c r="F112" s="34">
        <v>0</v>
      </c>
      <c r="G112" s="34">
        <v>0</v>
      </c>
      <c r="H112" s="34">
        <v>14</v>
      </c>
      <c r="I112" s="34">
        <v>0</v>
      </c>
      <c r="J112" s="34">
        <v>15</v>
      </c>
      <c r="K112" s="306" t="s">
        <v>1008</v>
      </c>
      <c r="L112" s="306" t="s">
        <v>986</v>
      </c>
      <c r="M112" s="306" t="s">
        <v>1009</v>
      </c>
      <c r="N112" s="29"/>
      <c r="O112" s="306"/>
    </row>
    <row r="113" spans="2:15" x14ac:dyDescent="0.25">
      <c r="B113" s="305"/>
      <c r="C113" s="311"/>
      <c r="D113" s="311"/>
      <c r="E113" s="34">
        <v>1</v>
      </c>
      <c r="F113" s="34">
        <v>0</v>
      </c>
      <c r="G113" s="34">
        <v>0</v>
      </c>
      <c r="H113" s="34">
        <v>14</v>
      </c>
      <c r="I113" s="34">
        <v>15</v>
      </c>
      <c r="J113" s="34">
        <v>15</v>
      </c>
      <c r="K113" s="305"/>
      <c r="L113" s="306"/>
      <c r="M113" s="306"/>
      <c r="N113" s="29"/>
      <c r="O113" s="306"/>
    </row>
    <row r="114" spans="2:15" x14ac:dyDescent="0.25">
      <c r="B114" s="305"/>
      <c r="C114" s="311"/>
      <c r="D114" s="311"/>
      <c r="E114" s="34" t="s">
        <v>984</v>
      </c>
      <c r="F114" s="34" t="s">
        <v>984</v>
      </c>
      <c r="G114" s="34" t="s">
        <v>984</v>
      </c>
      <c r="H114" s="34" t="s">
        <v>984</v>
      </c>
      <c r="I114" s="34" t="s">
        <v>984</v>
      </c>
      <c r="J114" s="34" t="s">
        <v>984</v>
      </c>
      <c r="K114" s="305"/>
      <c r="L114" s="306"/>
      <c r="M114" s="306"/>
      <c r="N114" s="29"/>
      <c r="O114" s="306"/>
    </row>
    <row r="115" spans="2:15" x14ac:dyDescent="0.25">
      <c r="B115" s="305"/>
      <c r="C115" s="312"/>
      <c r="D115" s="312"/>
      <c r="E115" s="34">
        <v>18</v>
      </c>
      <c r="F115" s="34">
        <v>0</v>
      </c>
      <c r="G115" s="34">
        <v>0</v>
      </c>
      <c r="H115" s="34">
        <v>14</v>
      </c>
      <c r="I115" s="34">
        <v>270</v>
      </c>
      <c r="J115" s="34">
        <v>3</v>
      </c>
      <c r="K115" s="305"/>
      <c r="L115" s="306"/>
      <c r="M115" s="306"/>
      <c r="N115" s="29"/>
      <c r="O115" s="306"/>
    </row>
    <row r="116" spans="2:15" x14ac:dyDescent="0.25">
      <c r="B116" s="305"/>
      <c r="C116" s="315">
        <v>1</v>
      </c>
      <c r="D116" s="315">
        <v>7</v>
      </c>
      <c r="E116" s="35">
        <v>0</v>
      </c>
      <c r="F116" s="35">
        <v>0</v>
      </c>
      <c r="G116" s="35">
        <v>0</v>
      </c>
      <c r="H116" s="35" t="s">
        <v>131</v>
      </c>
      <c r="I116" s="35">
        <v>0</v>
      </c>
      <c r="J116" s="35">
        <v>15</v>
      </c>
      <c r="K116" s="305"/>
      <c r="L116" s="306"/>
      <c r="M116" s="306"/>
      <c r="N116" s="29"/>
      <c r="O116" s="306"/>
    </row>
    <row r="117" spans="2:15" x14ac:dyDescent="0.25">
      <c r="B117" s="305"/>
      <c r="C117" s="318"/>
      <c r="D117" s="318"/>
      <c r="E117" s="43" t="s">
        <v>984</v>
      </c>
      <c r="F117" s="43" t="s">
        <v>984</v>
      </c>
      <c r="G117" s="43" t="s">
        <v>984</v>
      </c>
      <c r="H117" s="43" t="s">
        <v>984</v>
      </c>
      <c r="I117" s="43" t="s">
        <v>984</v>
      </c>
      <c r="J117" s="43" t="s">
        <v>984</v>
      </c>
      <c r="K117" s="305"/>
      <c r="L117" s="306"/>
      <c r="M117" s="306"/>
      <c r="N117" s="29"/>
      <c r="O117" s="306"/>
    </row>
    <row r="118" spans="2:15" x14ac:dyDescent="0.25">
      <c r="B118" s="305"/>
      <c r="C118" s="316"/>
      <c r="D118" s="316"/>
      <c r="E118" s="35">
        <v>6</v>
      </c>
      <c r="F118" s="35">
        <v>0</v>
      </c>
      <c r="G118" s="35">
        <v>0</v>
      </c>
      <c r="H118" s="35" t="s">
        <v>131</v>
      </c>
      <c r="I118" s="35">
        <v>90</v>
      </c>
      <c r="J118" s="35">
        <v>1</v>
      </c>
      <c r="K118" s="305"/>
      <c r="L118" s="306"/>
      <c r="M118" s="306"/>
      <c r="N118" s="29"/>
      <c r="O118" s="306"/>
    </row>
    <row r="119" spans="2:15" x14ac:dyDescent="0.25">
      <c r="B119" s="305"/>
      <c r="C119" s="43" t="s">
        <v>984</v>
      </c>
      <c r="D119" s="43" t="s">
        <v>984</v>
      </c>
      <c r="E119" s="43" t="s">
        <v>984</v>
      </c>
      <c r="F119" s="43" t="s">
        <v>984</v>
      </c>
      <c r="G119" s="43" t="s">
        <v>984</v>
      </c>
      <c r="H119" s="43" t="s">
        <v>984</v>
      </c>
      <c r="I119" s="43" t="s">
        <v>984</v>
      </c>
      <c r="J119" s="43" t="s">
        <v>984</v>
      </c>
      <c r="K119" s="305"/>
      <c r="L119" s="306"/>
      <c r="M119" s="306"/>
      <c r="N119" s="29"/>
      <c r="O119" s="306"/>
    </row>
    <row r="120" spans="2:15" x14ac:dyDescent="0.25">
      <c r="B120" s="305"/>
      <c r="C120" s="315">
        <v>3</v>
      </c>
      <c r="D120" s="315">
        <v>7</v>
      </c>
      <c r="E120" s="35">
        <v>12</v>
      </c>
      <c r="F120" s="35">
        <v>0</v>
      </c>
      <c r="G120" s="35">
        <v>0</v>
      </c>
      <c r="H120" s="35" t="s">
        <v>131</v>
      </c>
      <c r="I120" s="35">
        <v>182</v>
      </c>
      <c r="J120" s="35">
        <v>13</v>
      </c>
      <c r="K120" s="305"/>
      <c r="L120" s="306"/>
      <c r="M120" s="306"/>
      <c r="N120" s="29"/>
      <c r="O120" s="306"/>
    </row>
    <row r="121" spans="2:15" x14ac:dyDescent="0.25">
      <c r="B121" s="305"/>
      <c r="C121" s="318"/>
      <c r="D121" s="318"/>
      <c r="E121" s="43" t="s">
        <v>984</v>
      </c>
      <c r="F121" s="43" t="s">
        <v>984</v>
      </c>
      <c r="G121" s="43" t="s">
        <v>984</v>
      </c>
      <c r="H121" s="43" t="s">
        <v>984</v>
      </c>
      <c r="I121" s="43" t="s">
        <v>984</v>
      </c>
      <c r="J121" s="43" t="s">
        <v>984</v>
      </c>
      <c r="K121" s="305"/>
      <c r="L121" s="306"/>
      <c r="M121" s="306"/>
      <c r="N121" s="29"/>
      <c r="O121" s="306"/>
    </row>
    <row r="122" spans="2:15" x14ac:dyDescent="0.25">
      <c r="B122" s="305"/>
      <c r="C122" s="316"/>
      <c r="D122" s="316"/>
      <c r="E122" s="35">
        <v>18</v>
      </c>
      <c r="F122" s="35">
        <v>0</v>
      </c>
      <c r="G122" s="35">
        <v>0</v>
      </c>
      <c r="H122" s="35" t="s">
        <v>131</v>
      </c>
      <c r="I122" s="35">
        <v>270</v>
      </c>
      <c r="J122" s="35">
        <v>3</v>
      </c>
      <c r="K122" s="305"/>
      <c r="L122" s="306"/>
      <c r="M122" s="306"/>
      <c r="N122" s="29"/>
      <c r="O122" s="306"/>
    </row>
    <row r="123" spans="2:15" x14ac:dyDescent="0.25">
      <c r="B123" s="305">
        <v>20</v>
      </c>
      <c r="C123" s="310">
        <v>1</v>
      </c>
      <c r="D123" s="310">
        <v>19</v>
      </c>
      <c r="E123" s="34">
        <v>0</v>
      </c>
      <c r="F123" s="34">
        <v>0</v>
      </c>
      <c r="G123" s="34">
        <v>0</v>
      </c>
      <c r="H123" s="34">
        <v>1</v>
      </c>
      <c r="I123" s="34">
        <v>0</v>
      </c>
      <c r="J123" s="34">
        <v>15</v>
      </c>
      <c r="K123" s="306" t="s">
        <v>1010</v>
      </c>
      <c r="L123" s="306" t="s">
        <v>988</v>
      </c>
      <c r="M123" s="306" t="s">
        <v>1011</v>
      </c>
      <c r="N123" s="29"/>
      <c r="O123" s="306"/>
    </row>
    <row r="124" spans="2:15" x14ac:dyDescent="0.25">
      <c r="B124" s="305"/>
      <c r="C124" s="311"/>
      <c r="D124" s="311"/>
      <c r="E124" s="34">
        <v>1</v>
      </c>
      <c r="F124" s="34">
        <v>0</v>
      </c>
      <c r="G124" s="34">
        <v>0</v>
      </c>
      <c r="H124" s="34">
        <v>1</v>
      </c>
      <c r="I124" s="34">
        <v>15</v>
      </c>
      <c r="J124" s="34">
        <v>15</v>
      </c>
      <c r="K124" s="305"/>
      <c r="L124" s="306"/>
      <c r="M124" s="306"/>
      <c r="N124" s="29"/>
      <c r="O124" s="306"/>
    </row>
    <row r="125" spans="2:15" x14ac:dyDescent="0.25">
      <c r="B125" s="305"/>
      <c r="C125" s="311"/>
      <c r="D125" s="311"/>
      <c r="E125" s="34" t="s">
        <v>984</v>
      </c>
      <c r="F125" s="34" t="s">
        <v>984</v>
      </c>
      <c r="G125" s="34" t="s">
        <v>984</v>
      </c>
      <c r="H125" s="34" t="s">
        <v>984</v>
      </c>
      <c r="I125" s="34" t="s">
        <v>984</v>
      </c>
      <c r="J125" s="34" t="s">
        <v>984</v>
      </c>
      <c r="K125" s="305"/>
      <c r="L125" s="306"/>
      <c r="M125" s="306"/>
      <c r="N125" s="29"/>
      <c r="O125" s="306"/>
    </row>
    <row r="126" spans="2:15" x14ac:dyDescent="0.25">
      <c r="B126" s="305"/>
      <c r="C126" s="312"/>
      <c r="D126" s="312"/>
      <c r="E126" s="34">
        <v>18</v>
      </c>
      <c r="F126" s="34">
        <v>0</v>
      </c>
      <c r="G126" s="34">
        <v>0</v>
      </c>
      <c r="H126" s="34">
        <v>1</v>
      </c>
      <c r="I126" s="34">
        <v>270</v>
      </c>
      <c r="J126" s="34">
        <v>3</v>
      </c>
      <c r="K126" s="305"/>
      <c r="L126" s="306"/>
      <c r="M126" s="306"/>
      <c r="N126" s="29"/>
      <c r="O126" s="306"/>
    </row>
    <row r="127" spans="2:15" x14ac:dyDescent="0.25">
      <c r="B127" s="305"/>
      <c r="C127" s="315">
        <v>1</v>
      </c>
      <c r="D127" s="315">
        <v>7</v>
      </c>
      <c r="E127" s="35">
        <v>0</v>
      </c>
      <c r="F127" s="35">
        <v>0</v>
      </c>
      <c r="G127" s="35">
        <v>0</v>
      </c>
      <c r="H127" s="35" t="s">
        <v>131</v>
      </c>
      <c r="I127" s="35">
        <v>0</v>
      </c>
      <c r="J127" s="35">
        <v>15</v>
      </c>
      <c r="K127" s="305"/>
      <c r="L127" s="306"/>
      <c r="M127" s="306"/>
      <c r="N127" s="29"/>
      <c r="O127" s="306"/>
    </row>
    <row r="128" spans="2:15" x14ac:dyDescent="0.25">
      <c r="B128" s="305"/>
      <c r="C128" s="318"/>
      <c r="D128" s="318"/>
      <c r="E128" s="43" t="s">
        <v>984</v>
      </c>
      <c r="F128" s="43" t="s">
        <v>984</v>
      </c>
      <c r="G128" s="43" t="s">
        <v>984</v>
      </c>
      <c r="H128" s="43" t="s">
        <v>984</v>
      </c>
      <c r="I128" s="43" t="s">
        <v>984</v>
      </c>
      <c r="J128" s="43" t="s">
        <v>984</v>
      </c>
      <c r="K128" s="305"/>
      <c r="L128" s="306"/>
      <c r="M128" s="306"/>
      <c r="N128" s="29"/>
      <c r="O128" s="306"/>
    </row>
    <row r="129" spans="2:15" x14ac:dyDescent="0.25">
      <c r="B129" s="305"/>
      <c r="C129" s="316"/>
      <c r="D129" s="316"/>
      <c r="E129" s="35">
        <v>6</v>
      </c>
      <c r="F129" s="35">
        <v>0</v>
      </c>
      <c r="G129" s="35">
        <v>0</v>
      </c>
      <c r="H129" s="35" t="s">
        <v>131</v>
      </c>
      <c r="I129" s="35">
        <v>90</v>
      </c>
      <c r="J129" s="35">
        <v>1</v>
      </c>
      <c r="K129" s="305"/>
      <c r="L129" s="306"/>
      <c r="M129" s="306"/>
      <c r="N129" s="29"/>
      <c r="O129" s="306"/>
    </row>
    <row r="130" spans="2:15" x14ac:dyDescent="0.25">
      <c r="B130" s="305"/>
      <c r="C130" s="43" t="s">
        <v>984</v>
      </c>
      <c r="D130" s="43" t="s">
        <v>984</v>
      </c>
      <c r="E130" s="43" t="s">
        <v>984</v>
      </c>
      <c r="F130" s="43" t="s">
        <v>984</v>
      </c>
      <c r="G130" s="43" t="s">
        <v>984</v>
      </c>
      <c r="H130" s="43" t="s">
        <v>984</v>
      </c>
      <c r="I130" s="43" t="s">
        <v>984</v>
      </c>
      <c r="J130" s="43" t="s">
        <v>984</v>
      </c>
      <c r="K130" s="305"/>
      <c r="L130" s="306"/>
      <c r="M130" s="306"/>
      <c r="N130" s="29"/>
      <c r="O130" s="306"/>
    </row>
    <row r="131" spans="2:15" x14ac:dyDescent="0.25">
      <c r="B131" s="305"/>
      <c r="C131" s="315">
        <v>3</v>
      </c>
      <c r="D131" s="315">
        <v>7</v>
      </c>
      <c r="E131" s="35">
        <v>12</v>
      </c>
      <c r="F131" s="35">
        <v>0</v>
      </c>
      <c r="G131" s="35">
        <v>0</v>
      </c>
      <c r="H131" s="35" t="s">
        <v>131</v>
      </c>
      <c r="I131" s="35">
        <v>182</v>
      </c>
      <c r="J131" s="35">
        <v>13</v>
      </c>
      <c r="K131" s="305"/>
      <c r="L131" s="306"/>
      <c r="M131" s="306"/>
      <c r="N131" s="29"/>
      <c r="O131" s="306"/>
    </row>
    <row r="132" spans="2:15" x14ac:dyDescent="0.25">
      <c r="B132" s="305"/>
      <c r="C132" s="318"/>
      <c r="D132" s="318"/>
      <c r="E132" s="43" t="s">
        <v>984</v>
      </c>
      <c r="F132" s="43" t="s">
        <v>984</v>
      </c>
      <c r="G132" s="43" t="s">
        <v>984</v>
      </c>
      <c r="H132" s="43" t="s">
        <v>984</v>
      </c>
      <c r="I132" s="43" t="s">
        <v>984</v>
      </c>
      <c r="J132" s="43" t="s">
        <v>984</v>
      </c>
      <c r="K132" s="305"/>
      <c r="L132" s="306"/>
      <c r="M132" s="306"/>
      <c r="N132" s="29"/>
      <c r="O132" s="306"/>
    </row>
    <row r="133" spans="2:15" x14ac:dyDescent="0.25">
      <c r="B133" s="305"/>
      <c r="C133" s="316"/>
      <c r="D133" s="316"/>
      <c r="E133" s="35">
        <v>18</v>
      </c>
      <c r="F133" s="35">
        <v>0</v>
      </c>
      <c r="G133" s="35">
        <v>0</v>
      </c>
      <c r="H133" s="35" t="s">
        <v>131</v>
      </c>
      <c r="I133" s="35">
        <v>270</v>
      </c>
      <c r="J133" s="35">
        <v>3</v>
      </c>
      <c r="K133" s="305"/>
      <c r="L133" s="306"/>
      <c r="M133" s="306"/>
      <c r="N133" s="29"/>
      <c r="O133" s="306"/>
    </row>
    <row r="134" spans="2:15" x14ac:dyDescent="0.25">
      <c r="B134" s="305">
        <v>21</v>
      </c>
      <c r="C134" s="310">
        <v>1</v>
      </c>
      <c r="D134" s="310">
        <v>7</v>
      </c>
      <c r="E134" s="34">
        <v>0</v>
      </c>
      <c r="F134" s="34">
        <v>0</v>
      </c>
      <c r="G134" s="34">
        <v>1</v>
      </c>
      <c r="H134" s="34">
        <v>2</v>
      </c>
      <c r="I134" s="34">
        <v>0</v>
      </c>
      <c r="J134" s="34">
        <v>273</v>
      </c>
      <c r="K134" s="305" t="s">
        <v>1012</v>
      </c>
      <c r="L134" s="306" t="s">
        <v>991</v>
      </c>
      <c r="M134" s="306" t="s">
        <v>1013</v>
      </c>
      <c r="N134" s="29"/>
      <c r="O134" s="306"/>
    </row>
    <row r="135" spans="2:15" x14ac:dyDescent="0.25">
      <c r="B135" s="305"/>
      <c r="C135" s="311"/>
      <c r="D135" s="311"/>
      <c r="E135" s="34">
        <v>1</v>
      </c>
      <c r="F135" s="34">
        <v>2</v>
      </c>
      <c r="G135" s="34">
        <v>1</v>
      </c>
      <c r="H135" s="34">
        <v>2</v>
      </c>
      <c r="I135" s="34">
        <v>0</v>
      </c>
      <c r="J135" s="34">
        <v>273</v>
      </c>
      <c r="K135" s="305"/>
      <c r="L135" s="306"/>
      <c r="M135" s="306"/>
      <c r="N135" s="29"/>
      <c r="O135" s="306"/>
    </row>
    <row r="136" spans="2:15" x14ac:dyDescent="0.25">
      <c r="B136" s="305"/>
      <c r="C136" s="311"/>
      <c r="D136" s="311"/>
      <c r="E136" s="34" t="s">
        <v>984</v>
      </c>
      <c r="F136" s="34" t="s">
        <v>984</v>
      </c>
      <c r="G136" s="34" t="s">
        <v>984</v>
      </c>
      <c r="H136" s="34" t="s">
        <v>984</v>
      </c>
      <c r="I136" s="34" t="s">
        <v>984</v>
      </c>
      <c r="J136" s="34" t="s">
        <v>984</v>
      </c>
      <c r="K136" s="305"/>
      <c r="L136" s="306"/>
      <c r="M136" s="306"/>
      <c r="N136" s="29"/>
      <c r="O136" s="306"/>
    </row>
    <row r="137" spans="2:15" x14ac:dyDescent="0.25">
      <c r="B137" s="305"/>
      <c r="C137" s="312"/>
      <c r="D137" s="312"/>
      <c r="E137" s="34">
        <v>6</v>
      </c>
      <c r="F137" s="34">
        <v>12</v>
      </c>
      <c r="G137" s="34">
        <v>1</v>
      </c>
      <c r="H137" s="34">
        <v>2</v>
      </c>
      <c r="I137" s="34">
        <v>0</v>
      </c>
      <c r="J137" s="34">
        <v>273</v>
      </c>
      <c r="K137" s="305"/>
      <c r="L137" s="306"/>
      <c r="M137" s="306"/>
      <c r="N137" s="29"/>
      <c r="O137" s="306"/>
    </row>
    <row r="138" spans="2:15" x14ac:dyDescent="0.25">
      <c r="B138" s="305"/>
      <c r="C138" s="35">
        <v>1</v>
      </c>
      <c r="D138" s="35">
        <v>1</v>
      </c>
      <c r="E138" s="35">
        <v>0</v>
      </c>
      <c r="F138" s="35">
        <v>0</v>
      </c>
      <c r="G138" s="35">
        <v>0</v>
      </c>
      <c r="H138" s="35" t="s">
        <v>131</v>
      </c>
      <c r="I138" s="35">
        <v>0</v>
      </c>
      <c r="J138" s="35">
        <v>30</v>
      </c>
      <c r="K138" s="305"/>
      <c r="L138" s="306"/>
      <c r="M138" s="306"/>
      <c r="N138" s="29"/>
      <c r="O138" s="306"/>
    </row>
    <row r="139" spans="2:15" x14ac:dyDescent="0.25">
      <c r="B139" s="305"/>
      <c r="C139" s="35">
        <v>2</v>
      </c>
      <c r="D139" s="35">
        <v>1</v>
      </c>
      <c r="E139" s="35">
        <v>0</v>
      </c>
      <c r="F139" s="35">
        <v>0</v>
      </c>
      <c r="G139" s="35">
        <v>0</v>
      </c>
      <c r="H139" s="35" t="s">
        <v>131</v>
      </c>
      <c r="I139" s="35">
        <v>30</v>
      </c>
      <c r="J139" s="35">
        <v>30</v>
      </c>
      <c r="K139" s="305"/>
      <c r="L139" s="306"/>
      <c r="M139" s="306"/>
      <c r="N139" s="29"/>
      <c r="O139" s="306"/>
    </row>
    <row r="140" spans="2:15" x14ac:dyDescent="0.25">
      <c r="B140" s="305"/>
      <c r="C140" s="43" t="s">
        <v>984</v>
      </c>
      <c r="D140" s="43" t="s">
        <v>984</v>
      </c>
      <c r="E140" s="43" t="s">
        <v>984</v>
      </c>
      <c r="F140" s="43" t="s">
        <v>984</v>
      </c>
      <c r="G140" s="43" t="s">
        <v>984</v>
      </c>
      <c r="H140" s="43" t="s">
        <v>984</v>
      </c>
      <c r="I140" s="43" t="s">
        <v>984</v>
      </c>
      <c r="J140" s="43" t="s">
        <v>984</v>
      </c>
      <c r="K140" s="305"/>
      <c r="L140" s="306"/>
      <c r="M140" s="306"/>
      <c r="N140" s="29"/>
      <c r="O140" s="306"/>
    </row>
    <row r="141" spans="2:15" x14ac:dyDescent="0.25">
      <c r="B141" s="305"/>
      <c r="C141" s="35">
        <v>10</v>
      </c>
      <c r="D141" s="35">
        <v>1</v>
      </c>
      <c r="E141" s="35">
        <v>0</v>
      </c>
      <c r="F141" s="35">
        <v>0</v>
      </c>
      <c r="G141" s="35">
        <v>0</v>
      </c>
      <c r="H141" s="35" t="s">
        <v>131</v>
      </c>
      <c r="I141" s="35">
        <v>270</v>
      </c>
      <c r="J141" s="35">
        <v>3</v>
      </c>
      <c r="K141" s="305"/>
      <c r="L141" s="306"/>
      <c r="M141" s="306"/>
      <c r="N141" s="29"/>
      <c r="O141" s="306"/>
    </row>
    <row r="142" spans="2:15" x14ac:dyDescent="0.25">
      <c r="B142" s="305"/>
      <c r="C142" s="43" t="s">
        <v>984</v>
      </c>
      <c r="D142" s="43" t="s">
        <v>984</v>
      </c>
      <c r="E142" s="43" t="s">
        <v>984</v>
      </c>
      <c r="F142" s="43" t="s">
        <v>984</v>
      </c>
      <c r="G142" s="43" t="s">
        <v>984</v>
      </c>
      <c r="H142" s="43" t="s">
        <v>984</v>
      </c>
      <c r="I142" s="43" t="s">
        <v>984</v>
      </c>
      <c r="J142" s="43" t="s">
        <v>984</v>
      </c>
      <c r="K142" s="305"/>
      <c r="L142" s="306"/>
      <c r="M142" s="306"/>
      <c r="N142" s="29"/>
      <c r="O142" s="306"/>
    </row>
    <row r="143" spans="2:15" x14ac:dyDescent="0.25">
      <c r="B143" s="305"/>
      <c r="C143" s="35">
        <v>131</v>
      </c>
      <c r="D143" s="35">
        <v>1</v>
      </c>
      <c r="E143" s="35">
        <v>6</v>
      </c>
      <c r="F143" s="35">
        <v>13</v>
      </c>
      <c r="G143" s="35">
        <v>0</v>
      </c>
      <c r="H143" s="35" t="s">
        <v>131</v>
      </c>
      <c r="I143" s="35">
        <v>0</v>
      </c>
      <c r="J143" s="35">
        <v>30</v>
      </c>
      <c r="K143" s="305"/>
      <c r="L143" s="306"/>
      <c r="M143" s="306"/>
      <c r="N143" s="29"/>
      <c r="O143" s="306"/>
    </row>
    <row r="144" spans="2:15" x14ac:dyDescent="0.25">
      <c r="B144" s="305"/>
      <c r="C144" s="35">
        <v>132</v>
      </c>
      <c r="D144" s="35">
        <v>1</v>
      </c>
      <c r="E144" s="35">
        <v>6</v>
      </c>
      <c r="F144" s="35">
        <v>13</v>
      </c>
      <c r="G144" s="35">
        <v>0</v>
      </c>
      <c r="H144" s="35" t="s">
        <v>131</v>
      </c>
      <c r="I144" s="35">
        <v>30</v>
      </c>
      <c r="J144" s="35">
        <v>30</v>
      </c>
      <c r="K144" s="305"/>
      <c r="L144" s="306"/>
      <c r="M144" s="306"/>
      <c r="N144" s="29"/>
      <c r="O144" s="306"/>
    </row>
    <row r="145" spans="2:15" x14ac:dyDescent="0.25">
      <c r="B145" s="305"/>
      <c r="C145" s="43" t="s">
        <v>984</v>
      </c>
      <c r="D145" s="43" t="s">
        <v>984</v>
      </c>
      <c r="E145" s="43" t="s">
        <v>984</v>
      </c>
      <c r="F145" s="43" t="s">
        <v>984</v>
      </c>
      <c r="G145" s="43" t="s">
        <v>984</v>
      </c>
      <c r="H145" s="43" t="s">
        <v>984</v>
      </c>
      <c r="I145" s="43" t="s">
        <v>984</v>
      </c>
      <c r="J145" s="43" t="s">
        <v>984</v>
      </c>
      <c r="K145" s="305"/>
      <c r="L145" s="306"/>
      <c r="M145" s="306"/>
      <c r="N145" s="29"/>
      <c r="O145" s="306"/>
    </row>
    <row r="146" spans="2:15" x14ac:dyDescent="0.25">
      <c r="B146" s="305"/>
      <c r="C146" s="35">
        <v>140</v>
      </c>
      <c r="D146" s="35">
        <v>1</v>
      </c>
      <c r="E146" s="35">
        <v>6</v>
      </c>
      <c r="F146" s="35">
        <v>13</v>
      </c>
      <c r="G146" s="35">
        <v>0</v>
      </c>
      <c r="H146" s="35" t="s">
        <v>131</v>
      </c>
      <c r="I146" s="35">
        <v>270</v>
      </c>
      <c r="J146" s="35">
        <v>3</v>
      </c>
      <c r="K146" s="305"/>
      <c r="L146" s="306"/>
      <c r="M146" s="306"/>
      <c r="N146" s="29"/>
      <c r="O146" s="306"/>
    </row>
    <row r="147" spans="2:15" x14ac:dyDescent="0.25">
      <c r="B147" s="305">
        <v>22</v>
      </c>
      <c r="C147" s="310">
        <v>1</v>
      </c>
      <c r="D147" s="310">
        <v>19</v>
      </c>
      <c r="E147" s="34">
        <v>0</v>
      </c>
      <c r="F147" s="34">
        <v>0</v>
      </c>
      <c r="G147" s="34">
        <v>0</v>
      </c>
      <c r="H147" s="34">
        <v>1</v>
      </c>
      <c r="I147" s="34">
        <v>15</v>
      </c>
      <c r="J147" s="34">
        <v>15</v>
      </c>
      <c r="K147" s="306" t="s">
        <v>1014</v>
      </c>
      <c r="L147" s="306" t="s">
        <v>994</v>
      </c>
      <c r="M147" s="306" t="s">
        <v>1015</v>
      </c>
      <c r="N147" s="29"/>
      <c r="O147" s="306"/>
    </row>
    <row r="148" spans="2:15" x14ac:dyDescent="0.25">
      <c r="B148" s="305"/>
      <c r="C148" s="311"/>
      <c r="D148" s="311"/>
      <c r="E148" s="34">
        <v>1</v>
      </c>
      <c r="F148" s="34">
        <v>0</v>
      </c>
      <c r="G148" s="34">
        <v>0</v>
      </c>
      <c r="H148" s="34">
        <v>1</v>
      </c>
      <c r="I148" s="34">
        <v>0</v>
      </c>
      <c r="J148" s="34">
        <v>15</v>
      </c>
      <c r="K148" s="305"/>
      <c r="L148" s="306"/>
      <c r="M148" s="306"/>
      <c r="N148" s="29"/>
      <c r="O148" s="306"/>
    </row>
    <row r="149" spans="2:15" x14ac:dyDescent="0.25">
      <c r="B149" s="305"/>
      <c r="C149" s="311"/>
      <c r="D149" s="311"/>
      <c r="E149" s="34" t="s">
        <v>984</v>
      </c>
      <c r="F149" s="34" t="s">
        <v>984</v>
      </c>
      <c r="G149" s="34" t="s">
        <v>984</v>
      </c>
      <c r="H149" s="34" t="s">
        <v>984</v>
      </c>
      <c r="I149" s="34" t="s">
        <v>984</v>
      </c>
      <c r="J149" s="34" t="s">
        <v>984</v>
      </c>
      <c r="K149" s="305"/>
      <c r="L149" s="306"/>
      <c r="M149" s="306"/>
      <c r="N149" s="29"/>
      <c r="O149" s="306"/>
    </row>
    <row r="150" spans="2:15" x14ac:dyDescent="0.25">
      <c r="B150" s="305"/>
      <c r="C150" s="312"/>
      <c r="D150" s="312"/>
      <c r="E150" s="34">
        <v>18</v>
      </c>
      <c r="F150" s="34">
        <v>0</v>
      </c>
      <c r="G150" s="34">
        <v>0</v>
      </c>
      <c r="H150" s="34">
        <v>1</v>
      </c>
      <c r="I150" s="34">
        <v>270</v>
      </c>
      <c r="J150" s="34">
        <v>3</v>
      </c>
      <c r="K150" s="305"/>
      <c r="L150" s="306"/>
      <c r="M150" s="306"/>
      <c r="N150" s="29"/>
      <c r="O150" s="306"/>
    </row>
    <row r="151" spans="2:15" x14ac:dyDescent="0.25">
      <c r="B151" s="305"/>
      <c r="C151" s="315">
        <v>1</v>
      </c>
      <c r="D151" s="315">
        <v>7</v>
      </c>
      <c r="E151" s="35">
        <v>0</v>
      </c>
      <c r="F151" s="35">
        <v>0</v>
      </c>
      <c r="G151" s="35">
        <v>0</v>
      </c>
      <c r="H151" s="35" t="s">
        <v>131</v>
      </c>
      <c r="I151" s="35">
        <v>0</v>
      </c>
      <c r="J151" s="35">
        <v>15</v>
      </c>
      <c r="K151" s="305"/>
      <c r="L151" s="306"/>
      <c r="M151" s="306"/>
      <c r="N151" s="29"/>
      <c r="O151" s="306"/>
    </row>
    <row r="152" spans="2:15" x14ac:dyDescent="0.25">
      <c r="B152" s="305"/>
      <c r="C152" s="318"/>
      <c r="D152" s="318"/>
      <c r="E152" s="43" t="s">
        <v>984</v>
      </c>
      <c r="F152" s="43" t="s">
        <v>984</v>
      </c>
      <c r="G152" s="43" t="s">
        <v>984</v>
      </c>
      <c r="H152" s="43" t="s">
        <v>984</v>
      </c>
      <c r="I152" s="43" t="s">
        <v>984</v>
      </c>
      <c r="J152" s="43" t="s">
        <v>984</v>
      </c>
      <c r="K152" s="305"/>
      <c r="L152" s="306"/>
      <c r="M152" s="306"/>
      <c r="N152" s="29"/>
      <c r="O152" s="306"/>
    </row>
    <row r="153" spans="2:15" x14ac:dyDescent="0.25">
      <c r="B153" s="305"/>
      <c r="C153" s="316"/>
      <c r="D153" s="316"/>
      <c r="E153" s="35">
        <v>6</v>
      </c>
      <c r="F153" s="35">
        <v>0</v>
      </c>
      <c r="G153" s="35">
        <v>0</v>
      </c>
      <c r="H153" s="35" t="s">
        <v>131</v>
      </c>
      <c r="I153" s="35">
        <v>90</v>
      </c>
      <c r="J153" s="35">
        <v>1</v>
      </c>
      <c r="K153" s="305"/>
      <c r="L153" s="306"/>
      <c r="M153" s="306"/>
      <c r="N153" s="29"/>
      <c r="O153" s="306"/>
    </row>
    <row r="154" spans="2:15" x14ac:dyDescent="0.25">
      <c r="B154" s="305"/>
      <c r="C154" s="43" t="s">
        <v>984</v>
      </c>
      <c r="D154" s="43" t="s">
        <v>984</v>
      </c>
      <c r="E154" s="43" t="s">
        <v>984</v>
      </c>
      <c r="F154" s="43" t="s">
        <v>984</v>
      </c>
      <c r="G154" s="43" t="s">
        <v>984</v>
      </c>
      <c r="H154" s="43" t="s">
        <v>984</v>
      </c>
      <c r="I154" s="43" t="s">
        <v>984</v>
      </c>
      <c r="J154" s="43" t="s">
        <v>984</v>
      </c>
      <c r="K154" s="305"/>
      <c r="L154" s="306"/>
      <c r="M154" s="306"/>
      <c r="N154" s="29"/>
      <c r="O154" s="306"/>
    </row>
    <row r="155" spans="2:15" x14ac:dyDescent="0.25">
      <c r="B155" s="305"/>
      <c r="C155" s="315">
        <v>3</v>
      </c>
      <c r="D155" s="315">
        <v>7</v>
      </c>
      <c r="E155" s="35">
        <v>12</v>
      </c>
      <c r="F155" s="35">
        <v>0</v>
      </c>
      <c r="G155" s="35">
        <v>0</v>
      </c>
      <c r="H155" s="35" t="s">
        <v>131</v>
      </c>
      <c r="I155" s="35">
        <v>182</v>
      </c>
      <c r="J155" s="35">
        <v>13</v>
      </c>
      <c r="K155" s="305"/>
      <c r="L155" s="306"/>
      <c r="M155" s="306"/>
      <c r="N155" s="29"/>
      <c r="O155" s="306"/>
    </row>
    <row r="156" spans="2:15" x14ac:dyDescent="0.25">
      <c r="B156" s="305"/>
      <c r="C156" s="318"/>
      <c r="D156" s="318"/>
      <c r="E156" s="43" t="s">
        <v>984</v>
      </c>
      <c r="F156" s="43" t="s">
        <v>984</v>
      </c>
      <c r="G156" s="43" t="s">
        <v>984</v>
      </c>
      <c r="H156" s="43" t="s">
        <v>984</v>
      </c>
      <c r="I156" s="43" t="s">
        <v>984</v>
      </c>
      <c r="J156" s="43" t="s">
        <v>984</v>
      </c>
      <c r="K156" s="305"/>
      <c r="L156" s="306"/>
      <c r="M156" s="306"/>
      <c r="N156" s="29"/>
      <c r="O156" s="306"/>
    </row>
    <row r="157" spans="2:15" x14ac:dyDescent="0.25">
      <c r="B157" s="305"/>
      <c r="C157" s="316"/>
      <c r="D157" s="316"/>
      <c r="E157" s="35">
        <v>18</v>
      </c>
      <c r="F157" s="35">
        <v>0</v>
      </c>
      <c r="G157" s="35">
        <v>0</v>
      </c>
      <c r="H157" s="35" t="s">
        <v>131</v>
      </c>
      <c r="I157" s="35">
        <v>270</v>
      </c>
      <c r="J157" s="35">
        <v>3</v>
      </c>
      <c r="K157" s="305"/>
      <c r="L157" s="306"/>
      <c r="M157" s="306"/>
      <c r="N157" s="29"/>
      <c r="O157" s="306"/>
    </row>
    <row r="158" spans="2:15" x14ac:dyDescent="0.25">
      <c r="B158" s="305">
        <v>23</v>
      </c>
      <c r="C158" s="310">
        <v>1</v>
      </c>
      <c r="D158" s="310">
        <v>13</v>
      </c>
      <c r="E158" s="34">
        <v>0</v>
      </c>
      <c r="F158" s="34">
        <v>0</v>
      </c>
      <c r="G158" s="34">
        <v>0</v>
      </c>
      <c r="H158" s="34">
        <v>1</v>
      </c>
      <c r="I158" s="34">
        <v>0</v>
      </c>
      <c r="J158" s="34">
        <v>15</v>
      </c>
      <c r="K158" s="306" t="s">
        <v>1016</v>
      </c>
      <c r="L158" s="306" t="s">
        <v>988</v>
      </c>
      <c r="M158" s="306" t="s">
        <v>1017</v>
      </c>
      <c r="N158" s="29"/>
      <c r="O158" s="306"/>
    </row>
    <row r="159" spans="2:15" x14ac:dyDescent="0.25">
      <c r="B159" s="305"/>
      <c r="C159" s="311"/>
      <c r="D159" s="311"/>
      <c r="E159" s="34">
        <v>1</v>
      </c>
      <c r="F159" s="34">
        <v>0</v>
      </c>
      <c r="G159" s="34">
        <v>0</v>
      </c>
      <c r="H159" s="34">
        <v>1</v>
      </c>
      <c r="I159" s="34">
        <v>30</v>
      </c>
      <c r="J159" s="34">
        <v>15</v>
      </c>
      <c r="K159" s="305"/>
      <c r="L159" s="306"/>
      <c r="M159" s="306"/>
      <c r="N159" s="29"/>
      <c r="O159" s="306"/>
    </row>
    <row r="160" spans="2:15" x14ac:dyDescent="0.25">
      <c r="B160" s="305"/>
      <c r="C160" s="311"/>
      <c r="D160" s="311"/>
      <c r="E160" s="34" t="s">
        <v>984</v>
      </c>
      <c r="F160" s="34" t="s">
        <v>984</v>
      </c>
      <c r="G160" s="34" t="s">
        <v>984</v>
      </c>
      <c r="H160" s="34" t="s">
        <v>984</v>
      </c>
      <c r="I160" s="34" t="s">
        <v>984</v>
      </c>
      <c r="J160" s="34" t="s">
        <v>984</v>
      </c>
      <c r="K160" s="305"/>
      <c r="L160" s="306"/>
      <c r="M160" s="306"/>
      <c r="N160" s="29"/>
      <c r="O160" s="306"/>
    </row>
    <row r="161" spans="2:15" x14ac:dyDescent="0.25">
      <c r="B161" s="305"/>
      <c r="C161" s="312"/>
      <c r="D161" s="312"/>
      <c r="E161" s="34">
        <v>12</v>
      </c>
      <c r="F161" s="34">
        <v>0</v>
      </c>
      <c r="G161" s="34">
        <v>0</v>
      </c>
      <c r="H161" s="34">
        <v>1</v>
      </c>
      <c r="I161" s="34">
        <v>270</v>
      </c>
      <c r="J161" s="34">
        <v>3</v>
      </c>
      <c r="K161" s="305"/>
      <c r="L161" s="306"/>
      <c r="M161" s="306"/>
      <c r="N161" s="29"/>
      <c r="O161" s="306"/>
    </row>
    <row r="162" spans="2:15" x14ac:dyDescent="0.25">
      <c r="B162" s="305"/>
      <c r="C162" s="315">
        <v>1</v>
      </c>
      <c r="D162" s="315">
        <v>7</v>
      </c>
      <c r="E162" s="35">
        <v>0</v>
      </c>
      <c r="F162" s="35">
        <v>0</v>
      </c>
      <c r="G162" s="35">
        <v>0</v>
      </c>
      <c r="H162" s="35" t="s">
        <v>131</v>
      </c>
      <c r="I162" s="35">
        <v>0</v>
      </c>
      <c r="J162" s="35">
        <v>15</v>
      </c>
      <c r="K162" s="305"/>
      <c r="L162" s="306"/>
      <c r="M162" s="306"/>
      <c r="N162" s="29"/>
      <c r="O162" s="306"/>
    </row>
    <row r="163" spans="2:15" x14ac:dyDescent="0.25">
      <c r="B163" s="305"/>
      <c r="C163" s="318"/>
      <c r="D163" s="318"/>
      <c r="E163" s="43" t="s">
        <v>984</v>
      </c>
      <c r="F163" s="43" t="s">
        <v>984</v>
      </c>
      <c r="G163" s="43" t="s">
        <v>984</v>
      </c>
      <c r="H163" s="43" t="s">
        <v>984</v>
      </c>
      <c r="I163" s="43" t="s">
        <v>984</v>
      </c>
      <c r="J163" s="43" t="s">
        <v>984</v>
      </c>
      <c r="K163" s="305"/>
      <c r="L163" s="306"/>
      <c r="M163" s="306"/>
      <c r="N163" s="29"/>
      <c r="O163" s="306"/>
    </row>
    <row r="164" spans="2:15" x14ac:dyDescent="0.25">
      <c r="B164" s="305"/>
      <c r="C164" s="316"/>
      <c r="D164" s="316"/>
      <c r="E164" s="35">
        <v>6</v>
      </c>
      <c r="F164" s="35">
        <v>0</v>
      </c>
      <c r="G164" s="35">
        <v>0</v>
      </c>
      <c r="H164" s="35" t="s">
        <v>131</v>
      </c>
      <c r="I164" s="35">
        <v>135</v>
      </c>
      <c r="J164" s="35">
        <v>1</v>
      </c>
      <c r="K164" s="305"/>
      <c r="L164" s="306"/>
      <c r="M164" s="306"/>
      <c r="N164" s="29"/>
      <c r="O164" s="306"/>
    </row>
    <row r="165" spans="2:15" x14ac:dyDescent="0.25">
      <c r="B165" s="305"/>
      <c r="C165" s="315">
        <v>2</v>
      </c>
      <c r="D165" s="315">
        <v>7</v>
      </c>
      <c r="E165" s="35">
        <v>6</v>
      </c>
      <c r="F165" s="35">
        <v>0</v>
      </c>
      <c r="G165" s="35">
        <v>0</v>
      </c>
      <c r="H165" s="35" t="s">
        <v>131</v>
      </c>
      <c r="I165" s="35">
        <v>136</v>
      </c>
      <c r="J165" s="35">
        <v>14</v>
      </c>
      <c r="K165" s="305"/>
      <c r="L165" s="306"/>
      <c r="M165" s="306"/>
      <c r="N165" s="29"/>
      <c r="O165" s="306"/>
    </row>
    <row r="166" spans="2:15" x14ac:dyDescent="0.25">
      <c r="B166" s="305"/>
      <c r="C166" s="318"/>
      <c r="D166" s="318"/>
      <c r="E166" s="43" t="s">
        <v>984</v>
      </c>
      <c r="F166" s="43" t="s">
        <v>984</v>
      </c>
      <c r="G166" s="43" t="s">
        <v>984</v>
      </c>
      <c r="H166" s="43" t="s">
        <v>984</v>
      </c>
      <c r="I166" s="43" t="s">
        <v>984</v>
      </c>
      <c r="J166" s="43" t="s">
        <v>984</v>
      </c>
      <c r="K166" s="305"/>
      <c r="L166" s="306"/>
      <c r="M166" s="306"/>
      <c r="N166" s="29"/>
      <c r="O166" s="306"/>
    </row>
    <row r="167" spans="2:15" x14ac:dyDescent="0.25">
      <c r="B167" s="305"/>
      <c r="C167" s="316"/>
      <c r="D167" s="316"/>
      <c r="E167" s="35">
        <v>18</v>
      </c>
      <c r="F167" s="35">
        <v>0</v>
      </c>
      <c r="G167" s="35">
        <v>0</v>
      </c>
      <c r="H167" s="35" t="s">
        <v>131</v>
      </c>
      <c r="I167" s="35">
        <v>270</v>
      </c>
      <c r="J167" s="35">
        <v>3</v>
      </c>
      <c r="K167" s="305"/>
      <c r="L167" s="306"/>
      <c r="M167" s="306"/>
      <c r="N167" s="29"/>
      <c r="O167" s="306"/>
    </row>
    <row r="168" spans="2:15" x14ac:dyDescent="0.25">
      <c r="B168" s="305">
        <v>24</v>
      </c>
      <c r="C168" s="310">
        <v>1</v>
      </c>
      <c r="D168" s="310">
        <v>13</v>
      </c>
      <c r="E168" s="34">
        <v>0</v>
      </c>
      <c r="F168" s="34">
        <v>0</v>
      </c>
      <c r="G168" s="34">
        <v>0</v>
      </c>
      <c r="H168" s="34">
        <v>1</v>
      </c>
      <c r="I168" s="34">
        <v>30</v>
      </c>
      <c r="J168" s="34">
        <v>15</v>
      </c>
      <c r="K168" s="306" t="s">
        <v>1018</v>
      </c>
      <c r="L168" s="306" t="s">
        <v>994</v>
      </c>
      <c r="M168" s="306" t="s">
        <v>1019</v>
      </c>
      <c r="N168" s="29"/>
      <c r="O168" s="306"/>
    </row>
    <row r="169" spans="2:15" x14ac:dyDescent="0.25">
      <c r="B169" s="305"/>
      <c r="C169" s="311"/>
      <c r="D169" s="311"/>
      <c r="E169" s="34">
        <v>1</v>
      </c>
      <c r="F169" s="34">
        <v>0</v>
      </c>
      <c r="G169" s="34">
        <v>0</v>
      </c>
      <c r="H169" s="34">
        <v>1</v>
      </c>
      <c r="I169" s="34">
        <v>0</v>
      </c>
      <c r="J169" s="34">
        <v>15</v>
      </c>
      <c r="K169" s="305"/>
      <c r="L169" s="306"/>
      <c r="M169" s="306"/>
      <c r="N169" s="29"/>
      <c r="O169" s="306"/>
    </row>
    <row r="170" spans="2:15" x14ac:dyDescent="0.25">
      <c r="B170" s="305"/>
      <c r="C170" s="311"/>
      <c r="D170" s="311"/>
      <c r="E170" s="34" t="s">
        <v>984</v>
      </c>
      <c r="F170" s="34" t="s">
        <v>984</v>
      </c>
      <c r="G170" s="34" t="s">
        <v>984</v>
      </c>
      <c r="H170" s="34" t="s">
        <v>984</v>
      </c>
      <c r="I170" s="34" t="s">
        <v>984</v>
      </c>
      <c r="J170" s="34" t="s">
        <v>984</v>
      </c>
      <c r="K170" s="305"/>
      <c r="L170" s="306"/>
      <c r="M170" s="306"/>
      <c r="N170" s="29"/>
      <c r="O170" s="306"/>
    </row>
    <row r="171" spans="2:15" x14ac:dyDescent="0.25">
      <c r="B171" s="305"/>
      <c r="C171" s="312"/>
      <c r="D171" s="312"/>
      <c r="E171" s="34">
        <v>12</v>
      </c>
      <c r="F171" s="34">
        <v>0</v>
      </c>
      <c r="G171" s="34">
        <v>0</v>
      </c>
      <c r="H171" s="34">
        <v>1</v>
      </c>
      <c r="I171" s="34">
        <v>255</v>
      </c>
      <c r="J171" s="34">
        <v>15</v>
      </c>
      <c r="K171" s="305"/>
      <c r="L171" s="306"/>
      <c r="M171" s="306"/>
      <c r="N171" s="29"/>
      <c r="O171" s="306"/>
    </row>
    <row r="172" spans="2:15" x14ac:dyDescent="0.25">
      <c r="B172" s="305"/>
      <c r="C172" s="315">
        <v>1</v>
      </c>
      <c r="D172" s="315">
        <v>7</v>
      </c>
      <c r="E172" s="35">
        <v>0</v>
      </c>
      <c r="F172" s="35">
        <v>0</v>
      </c>
      <c r="G172" s="35">
        <v>0</v>
      </c>
      <c r="H172" s="35" t="s">
        <v>131</v>
      </c>
      <c r="I172" s="35">
        <v>0</v>
      </c>
      <c r="J172" s="35">
        <v>15</v>
      </c>
      <c r="K172" s="305"/>
      <c r="L172" s="306"/>
      <c r="M172" s="306"/>
      <c r="N172" s="29"/>
      <c r="O172" s="306"/>
    </row>
    <row r="173" spans="2:15" x14ac:dyDescent="0.25">
      <c r="B173" s="305"/>
      <c r="C173" s="318"/>
      <c r="D173" s="318"/>
      <c r="E173" s="43" t="s">
        <v>984</v>
      </c>
      <c r="F173" s="43" t="s">
        <v>984</v>
      </c>
      <c r="G173" s="43" t="s">
        <v>984</v>
      </c>
      <c r="H173" s="43" t="s">
        <v>984</v>
      </c>
      <c r="I173" s="43" t="s">
        <v>984</v>
      </c>
      <c r="J173" s="43" t="s">
        <v>984</v>
      </c>
      <c r="K173" s="305"/>
      <c r="L173" s="306"/>
      <c r="M173" s="306"/>
      <c r="N173" s="29"/>
      <c r="O173" s="306"/>
    </row>
    <row r="174" spans="2:15" x14ac:dyDescent="0.25">
      <c r="B174" s="305"/>
      <c r="C174" s="316"/>
      <c r="D174" s="316"/>
      <c r="E174" s="35">
        <v>6</v>
      </c>
      <c r="F174" s="35">
        <v>0</v>
      </c>
      <c r="G174" s="35">
        <v>0</v>
      </c>
      <c r="H174" s="35" t="s">
        <v>131</v>
      </c>
      <c r="I174" s="35">
        <v>135</v>
      </c>
      <c r="J174" s="35">
        <v>1</v>
      </c>
      <c r="K174" s="305"/>
      <c r="L174" s="306"/>
      <c r="M174" s="306"/>
      <c r="N174" s="29"/>
      <c r="O174" s="306"/>
    </row>
    <row r="175" spans="2:15" x14ac:dyDescent="0.25">
      <c r="B175" s="305"/>
      <c r="C175" s="315">
        <v>2</v>
      </c>
      <c r="D175" s="315">
        <v>7</v>
      </c>
      <c r="E175" s="35">
        <v>6</v>
      </c>
      <c r="F175" s="35">
        <v>0</v>
      </c>
      <c r="G175" s="35">
        <v>0</v>
      </c>
      <c r="H175" s="35" t="s">
        <v>131</v>
      </c>
      <c r="I175" s="35">
        <v>136</v>
      </c>
      <c r="J175" s="35">
        <v>14</v>
      </c>
      <c r="K175" s="305"/>
      <c r="L175" s="306"/>
      <c r="M175" s="306"/>
      <c r="N175" s="29"/>
      <c r="O175" s="306"/>
    </row>
    <row r="176" spans="2:15" x14ac:dyDescent="0.25">
      <c r="B176" s="305"/>
      <c r="C176" s="318"/>
      <c r="D176" s="318"/>
      <c r="E176" s="43" t="s">
        <v>984</v>
      </c>
      <c r="F176" s="43" t="s">
        <v>984</v>
      </c>
      <c r="G176" s="43" t="s">
        <v>984</v>
      </c>
      <c r="H176" s="43" t="s">
        <v>984</v>
      </c>
      <c r="I176" s="43" t="s">
        <v>984</v>
      </c>
      <c r="J176" s="43" t="s">
        <v>984</v>
      </c>
      <c r="K176" s="305"/>
      <c r="L176" s="306"/>
      <c r="M176" s="306"/>
      <c r="N176" s="29"/>
      <c r="O176" s="306"/>
    </row>
    <row r="177" spans="2:15" x14ac:dyDescent="0.25">
      <c r="B177" s="305"/>
      <c r="C177" s="316"/>
      <c r="D177" s="316"/>
      <c r="E177" s="35">
        <v>18</v>
      </c>
      <c r="F177" s="35">
        <v>0</v>
      </c>
      <c r="G177" s="35">
        <v>0</v>
      </c>
      <c r="H177" s="35" t="s">
        <v>131</v>
      </c>
      <c r="I177" s="35">
        <v>270</v>
      </c>
      <c r="J177" s="35">
        <v>3</v>
      </c>
      <c r="K177" s="305"/>
      <c r="L177" s="306"/>
      <c r="M177" s="306"/>
      <c r="N177" s="29"/>
      <c r="O177" s="306"/>
    </row>
    <row r="178" spans="2:15" x14ac:dyDescent="0.25">
      <c r="B178" s="305" t="s">
        <v>1020</v>
      </c>
      <c r="C178" s="34">
        <v>1</v>
      </c>
      <c r="D178" s="34">
        <v>1</v>
      </c>
      <c r="E178" s="34">
        <v>0</v>
      </c>
      <c r="F178" s="34">
        <v>0</v>
      </c>
      <c r="G178" s="34">
        <v>0</v>
      </c>
      <c r="H178" s="34">
        <v>14</v>
      </c>
      <c r="I178" s="34">
        <v>0</v>
      </c>
      <c r="J178" s="34">
        <v>273</v>
      </c>
      <c r="K178" s="305" t="s">
        <v>1021</v>
      </c>
      <c r="L178" s="306" t="s">
        <v>1022</v>
      </c>
      <c r="M178" s="306" t="s">
        <v>1023</v>
      </c>
      <c r="N178" s="29"/>
      <c r="O178" s="306"/>
    </row>
    <row r="179" spans="2:15" x14ac:dyDescent="0.25">
      <c r="B179" s="305"/>
      <c r="C179" s="35">
        <v>1</v>
      </c>
      <c r="D179" s="35">
        <v>1</v>
      </c>
      <c r="E179" s="35">
        <v>0</v>
      </c>
      <c r="F179" s="35">
        <v>0</v>
      </c>
      <c r="G179" s="35">
        <v>0</v>
      </c>
      <c r="H179" s="35" t="s">
        <v>131</v>
      </c>
      <c r="I179" s="35">
        <v>0</v>
      </c>
      <c r="J179" s="35">
        <v>52</v>
      </c>
      <c r="K179" s="305"/>
      <c r="L179" s="306"/>
      <c r="M179" s="306"/>
      <c r="N179" s="29"/>
      <c r="O179" s="306"/>
    </row>
    <row r="180" spans="2:15" x14ac:dyDescent="0.25">
      <c r="B180" s="305"/>
      <c r="C180" s="35">
        <v>2</v>
      </c>
      <c r="D180" s="35">
        <v>1</v>
      </c>
      <c r="E180" s="35">
        <v>0</v>
      </c>
      <c r="F180" s="35">
        <v>0</v>
      </c>
      <c r="G180" s="35">
        <v>0</v>
      </c>
      <c r="H180" s="35" t="s">
        <v>131</v>
      </c>
      <c r="I180" s="35">
        <v>52</v>
      </c>
      <c r="J180" s="35">
        <v>52</v>
      </c>
      <c r="K180" s="305"/>
      <c r="L180" s="306"/>
      <c r="M180" s="306"/>
      <c r="N180" s="29"/>
      <c r="O180" s="306"/>
    </row>
    <row r="181" spans="2:15" x14ac:dyDescent="0.25">
      <c r="B181" s="305"/>
      <c r="C181" s="43" t="s">
        <v>984</v>
      </c>
      <c r="D181" s="43" t="s">
        <v>984</v>
      </c>
      <c r="E181" s="43" t="s">
        <v>984</v>
      </c>
      <c r="F181" s="43" t="s">
        <v>984</v>
      </c>
      <c r="G181" s="43" t="s">
        <v>984</v>
      </c>
      <c r="H181" s="43" t="s">
        <v>984</v>
      </c>
      <c r="I181" s="43" t="s">
        <v>984</v>
      </c>
      <c r="J181" s="43" t="s">
        <v>984</v>
      </c>
      <c r="K181" s="305"/>
      <c r="L181" s="306"/>
      <c r="M181" s="306"/>
      <c r="N181" s="29"/>
      <c r="O181" s="306"/>
    </row>
    <row r="182" spans="2:15" x14ac:dyDescent="0.25">
      <c r="B182" s="305"/>
      <c r="C182" s="35">
        <v>6</v>
      </c>
      <c r="D182" s="35">
        <v>1</v>
      </c>
      <c r="E182" s="35">
        <v>0</v>
      </c>
      <c r="F182" s="35">
        <v>0</v>
      </c>
      <c r="G182" s="35">
        <v>0</v>
      </c>
      <c r="H182" s="35" t="s">
        <v>131</v>
      </c>
      <c r="I182" s="35">
        <v>260</v>
      </c>
      <c r="J182" s="35">
        <v>13</v>
      </c>
      <c r="K182" s="305"/>
      <c r="L182" s="306"/>
      <c r="M182" s="306"/>
      <c r="N182" s="29"/>
      <c r="O182" s="306"/>
    </row>
    <row r="183" spans="2:15" x14ac:dyDescent="0.25">
      <c r="B183" s="305"/>
      <c r="C183" s="43" t="s">
        <v>984</v>
      </c>
      <c r="D183" s="43" t="s">
        <v>984</v>
      </c>
      <c r="E183" s="43" t="s">
        <v>984</v>
      </c>
      <c r="F183" s="43" t="s">
        <v>984</v>
      </c>
      <c r="G183" s="43" t="s">
        <v>984</v>
      </c>
      <c r="H183" s="43" t="s">
        <v>984</v>
      </c>
      <c r="I183" s="43" t="s">
        <v>984</v>
      </c>
      <c r="J183" s="43" t="s">
        <v>984</v>
      </c>
      <c r="K183" s="305"/>
      <c r="L183" s="306"/>
      <c r="M183" s="306"/>
      <c r="N183" s="29"/>
      <c r="O183" s="306"/>
    </row>
    <row r="184" spans="2:15" x14ac:dyDescent="0.25">
      <c r="B184" s="305"/>
      <c r="C184" s="35">
        <v>79</v>
      </c>
      <c r="D184" s="35">
        <v>1</v>
      </c>
      <c r="E184" s="35">
        <v>0</v>
      </c>
      <c r="F184" s="35">
        <v>13</v>
      </c>
      <c r="G184" s="35">
        <v>0</v>
      </c>
      <c r="H184" s="35" t="s">
        <v>131</v>
      </c>
      <c r="I184" s="35">
        <v>0</v>
      </c>
      <c r="J184" s="35">
        <v>52</v>
      </c>
      <c r="K184" s="305"/>
      <c r="L184" s="306"/>
      <c r="M184" s="306"/>
      <c r="N184" s="29"/>
      <c r="O184" s="306"/>
    </row>
    <row r="185" spans="2:15" x14ac:dyDescent="0.25">
      <c r="B185" s="305"/>
      <c r="C185" s="35">
        <v>80</v>
      </c>
      <c r="D185" s="35">
        <v>1</v>
      </c>
      <c r="E185" s="35">
        <v>0</v>
      </c>
      <c r="F185" s="35">
        <v>13</v>
      </c>
      <c r="G185" s="35">
        <v>0</v>
      </c>
      <c r="H185" s="35" t="s">
        <v>131</v>
      </c>
      <c r="I185" s="35">
        <v>52</v>
      </c>
      <c r="J185" s="35">
        <v>52</v>
      </c>
      <c r="K185" s="305"/>
      <c r="L185" s="306"/>
      <c r="M185" s="306"/>
      <c r="N185" s="29"/>
      <c r="O185" s="306"/>
    </row>
    <row r="186" spans="2:15" x14ac:dyDescent="0.25">
      <c r="B186" s="305"/>
      <c r="C186" s="43" t="s">
        <v>984</v>
      </c>
      <c r="D186" s="43" t="s">
        <v>984</v>
      </c>
      <c r="E186" s="43" t="s">
        <v>984</v>
      </c>
      <c r="F186" s="43" t="s">
        <v>984</v>
      </c>
      <c r="G186" s="43" t="s">
        <v>984</v>
      </c>
      <c r="H186" s="43" t="s">
        <v>984</v>
      </c>
      <c r="I186" s="43" t="s">
        <v>984</v>
      </c>
      <c r="J186" s="43" t="s">
        <v>984</v>
      </c>
      <c r="K186" s="305"/>
      <c r="L186" s="306"/>
      <c r="M186" s="306"/>
      <c r="N186" s="29"/>
      <c r="O186" s="306"/>
    </row>
    <row r="187" spans="2:15" x14ac:dyDescent="0.25">
      <c r="B187" s="305"/>
      <c r="C187" s="35">
        <v>84</v>
      </c>
      <c r="D187" s="35">
        <v>1</v>
      </c>
      <c r="E187" s="35">
        <v>0</v>
      </c>
      <c r="F187" s="35">
        <v>13</v>
      </c>
      <c r="G187" s="35">
        <v>0</v>
      </c>
      <c r="H187" s="35" t="s">
        <v>131</v>
      </c>
      <c r="I187" s="35">
        <v>260</v>
      </c>
      <c r="J187" s="35">
        <v>13</v>
      </c>
      <c r="K187" s="305"/>
      <c r="L187" s="306"/>
      <c r="M187" s="306"/>
      <c r="N187" s="29"/>
      <c r="O187" s="306"/>
    </row>
  </sheetData>
  <mergeCells count="161">
    <mergeCell ref="C2:O2"/>
    <mergeCell ref="B6:B14"/>
    <mergeCell ref="K6:K14"/>
    <mergeCell ref="L6:L14"/>
    <mergeCell ref="M6:M14"/>
    <mergeCell ref="O6:O14"/>
    <mergeCell ref="B15:B24"/>
    <mergeCell ref="C15:C18"/>
    <mergeCell ref="D15:D18"/>
    <mergeCell ref="K15:K24"/>
    <mergeCell ref="L15:L24"/>
    <mergeCell ref="O3:O5"/>
    <mergeCell ref="M3:M5"/>
    <mergeCell ref="L3:L5"/>
    <mergeCell ref="K3:K5"/>
    <mergeCell ref="B3:B5"/>
    <mergeCell ref="B25:B43"/>
    <mergeCell ref="C25:C28"/>
    <mergeCell ref="D25:D28"/>
    <mergeCell ref="K25:K43"/>
    <mergeCell ref="L25:L43"/>
    <mergeCell ref="M25:M43"/>
    <mergeCell ref="M15:M24"/>
    <mergeCell ref="O15:O24"/>
    <mergeCell ref="C19:C21"/>
    <mergeCell ref="D19:D21"/>
    <mergeCell ref="C22:C24"/>
    <mergeCell ref="D22:D24"/>
    <mergeCell ref="O25:O43"/>
    <mergeCell ref="C29:C32"/>
    <mergeCell ref="D29:D32"/>
    <mergeCell ref="C34:C37"/>
    <mergeCell ref="D34:D37"/>
    <mergeCell ref="C38:C40"/>
    <mergeCell ref="D38:D40"/>
    <mergeCell ref="C41:C43"/>
    <mergeCell ref="D41:D43"/>
    <mergeCell ref="B65:B75"/>
    <mergeCell ref="C65:C68"/>
    <mergeCell ref="D65:D68"/>
    <mergeCell ref="K65:K75"/>
    <mergeCell ref="O44:O52"/>
    <mergeCell ref="B53:B64"/>
    <mergeCell ref="C53:C56"/>
    <mergeCell ref="D53:D56"/>
    <mergeCell ref="K53:K64"/>
    <mergeCell ref="L53:L64"/>
    <mergeCell ref="M53:M64"/>
    <mergeCell ref="O53:O64"/>
    <mergeCell ref="C58:C60"/>
    <mergeCell ref="D58:D60"/>
    <mergeCell ref="B44:B52"/>
    <mergeCell ref="C44:C47"/>
    <mergeCell ref="D44:D47"/>
    <mergeCell ref="K44:K52"/>
    <mergeCell ref="L44:L52"/>
    <mergeCell ref="M44:M52"/>
    <mergeCell ref="L65:L75"/>
    <mergeCell ref="M65:M75"/>
    <mergeCell ref="O65:O75"/>
    <mergeCell ref="C70:C72"/>
    <mergeCell ref="M89:M98"/>
    <mergeCell ref="O89:O98"/>
    <mergeCell ref="O76:O85"/>
    <mergeCell ref="C80:C82"/>
    <mergeCell ref="D80:D82"/>
    <mergeCell ref="C83:C85"/>
    <mergeCell ref="D83:D85"/>
    <mergeCell ref="B86:B87"/>
    <mergeCell ref="K86:K87"/>
    <mergeCell ref="L86:L87"/>
    <mergeCell ref="M86:M87"/>
    <mergeCell ref="O86:O87"/>
    <mergeCell ref="B76:B85"/>
    <mergeCell ref="C76:C79"/>
    <mergeCell ref="D76:D79"/>
    <mergeCell ref="B99:B111"/>
    <mergeCell ref="K99:K111"/>
    <mergeCell ref="L99:L111"/>
    <mergeCell ref="M99:M111"/>
    <mergeCell ref="O99:O111"/>
    <mergeCell ref="B112:B122"/>
    <mergeCell ref="C112:C115"/>
    <mergeCell ref="D112:D115"/>
    <mergeCell ref="K112:K122"/>
    <mergeCell ref="L112:L122"/>
    <mergeCell ref="M112:M122"/>
    <mergeCell ref="O112:O122"/>
    <mergeCell ref="C116:C118"/>
    <mergeCell ref="D116:D118"/>
    <mergeCell ref="C120:C122"/>
    <mergeCell ref="D120:D122"/>
    <mergeCell ref="B147:B157"/>
    <mergeCell ref="C147:C150"/>
    <mergeCell ref="D147:D150"/>
    <mergeCell ref="O123:O133"/>
    <mergeCell ref="C127:C129"/>
    <mergeCell ref="D127:D129"/>
    <mergeCell ref="C131:C133"/>
    <mergeCell ref="D131:D133"/>
    <mergeCell ref="B134:B146"/>
    <mergeCell ref="C134:C137"/>
    <mergeCell ref="D134:D137"/>
    <mergeCell ref="K134:K146"/>
    <mergeCell ref="L134:L146"/>
    <mergeCell ref="B123:B133"/>
    <mergeCell ref="C123:C126"/>
    <mergeCell ref="D123:D126"/>
    <mergeCell ref="K123:K133"/>
    <mergeCell ref="L123:L133"/>
    <mergeCell ref="M123:M133"/>
    <mergeCell ref="M134:M146"/>
    <mergeCell ref="O134:O146"/>
    <mergeCell ref="B158:B167"/>
    <mergeCell ref="C158:C161"/>
    <mergeCell ref="D158:D161"/>
    <mergeCell ref="K158:K167"/>
    <mergeCell ref="L158:L167"/>
    <mergeCell ref="M158:M167"/>
    <mergeCell ref="O147:O157"/>
    <mergeCell ref="C151:C153"/>
    <mergeCell ref="B178:B187"/>
    <mergeCell ref="K178:K187"/>
    <mergeCell ref="L178:L187"/>
    <mergeCell ref="M178:M187"/>
    <mergeCell ref="O178:O187"/>
    <mergeCell ref="B168:B177"/>
    <mergeCell ref="C168:C171"/>
    <mergeCell ref="D168:D171"/>
    <mergeCell ref="K168:K177"/>
    <mergeCell ref="L168:L177"/>
    <mergeCell ref="M168:M177"/>
    <mergeCell ref="O168:O177"/>
    <mergeCell ref="C172:C174"/>
    <mergeCell ref="D172:D174"/>
    <mergeCell ref="C175:C177"/>
    <mergeCell ref="D175:D177"/>
    <mergeCell ref="O158:O167"/>
    <mergeCell ref="C162:C164"/>
    <mergeCell ref="D162:D164"/>
    <mergeCell ref="C165:C167"/>
    <mergeCell ref="D165:D167"/>
    <mergeCell ref="N3:N5"/>
    <mergeCell ref="K147:K157"/>
    <mergeCell ref="L147:L157"/>
    <mergeCell ref="M147:M157"/>
    <mergeCell ref="D151:D153"/>
    <mergeCell ref="C155:C157"/>
    <mergeCell ref="D155:D157"/>
    <mergeCell ref="K76:K85"/>
    <mergeCell ref="L76:L85"/>
    <mergeCell ref="M76:M85"/>
    <mergeCell ref="D70:D72"/>
    <mergeCell ref="C73:C75"/>
    <mergeCell ref="D73:D75"/>
    <mergeCell ref="C62:C64"/>
    <mergeCell ref="D62:D64"/>
    <mergeCell ref="B88:O88"/>
    <mergeCell ref="B89:B98"/>
    <mergeCell ref="K89:K98"/>
    <mergeCell ref="L89:L98"/>
  </mergeCells>
  <hyperlinks>
    <hyperlink ref="L1" location="'CU Plane Coupling - Use_cases'!A1" display="Use cases " xr:uid="{2889BA9A-7470-432B-A139-F650A30936BF}"/>
  </hyperlink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871C-1DD0-4341-A6F6-C669AC77917A}">
  <dimension ref="A1:T169"/>
  <sheetViews>
    <sheetView zoomScale="85" zoomScaleNormal="85" workbookViewId="0">
      <pane xSplit="2" ySplit="1" topLeftCell="G2" activePane="bottomRight" state="frozen"/>
      <selection pane="topRight" activeCell="C1" sqref="C1"/>
      <selection pane="bottomLeft" activeCell="A2" sqref="A2"/>
      <selection pane="bottomRight" activeCell="N3" sqref="N3:N4"/>
    </sheetView>
  </sheetViews>
  <sheetFormatPr defaultRowHeight="15" x14ac:dyDescent="0.25"/>
  <cols>
    <col min="1" max="1" width="9.140625" style="44"/>
    <col min="2" max="2" width="7.42578125" style="44" bestFit="1" customWidth="1"/>
    <col min="3" max="3" width="19.140625" style="44" bestFit="1" customWidth="1"/>
    <col min="4" max="4" width="17.5703125" style="44" bestFit="1" customWidth="1"/>
    <col min="5" max="5" width="11.5703125" style="44" bestFit="1" customWidth="1"/>
    <col min="6" max="6" width="16.42578125" style="44" bestFit="1" customWidth="1"/>
    <col min="7" max="7" width="9.42578125" style="44" bestFit="1" customWidth="1"/>
    <col min="8" max="8" width="13.85546875" style="44" bestFit="1" customWidth="1"/>
    <col min="9" max="9" width="26" style="44" bestFit="1" customWidth="1"/>
    <col min="10" max="10" width="12" style="44" customWidth="1"/>
    <col min="11" max="11" width="64" style="44" customWidth="1"/>
    <col min="12" max="12" width="14.85546875" style="44" customWidth="1"/>
    <col min="13" max="13" width="21.85546875" style="44" bestFit="1" customWidth="1"/>
    <col min="14" max="14" width="21.85546875" style="44" customWidth="1"/>
    <col min="15" max="15" width="24.42578125" style="44" customWidth="1"/>
    <col min="16" max="16" width="2.42578125" style="44" bestFit="1" customWidth="1"/>
    <col min="17" max="17" width="16" style="44" bestFit="1" customWidth="1"/>
    <col min="18" max="20" width="9.140625" style="44"/>
  </cols>
  <sheetData>
    <row r="1" spans="2:19" s="44" customFormat="1" ht="30.75" thickBot="1" x14ac:dyDescent="0.3">
      <c r="B1" s="32" t="s">
        <v>116</v>
      </c>
      <c r="C1" s="32" t="s">
        <v>117</v>
      </c>
      <c r="D1" s="33" t="s">
        <v>973</v>
      </c>
      <c r="E1" s="32" t="s">
        <v>119</v>
      </c>
      <c r="F1" s="32" t="s">
        <v>121</v>
      </c>
      <c r="G1" s="32" t="s">
        <v>122</v>
      </c>
      <c r="H1" s="32" t="s">
        <v>123</v>
      </c>
      <c r="I1" s="33" t="s">
        <v>974</v>
      </c>
      <c r="J1" s="33" t="s">
        <v>975</v>
      </c>
      <c r="K1" s="32" t="s">
        <v>2</v>
      </c>
      <c r="L1" s="52" t="s">
        <v>153</v>
      </c>
      <c r="M1" s="33" t="s">
        <v>976</v>
      </c>
      <c r="N1" s="33" t="s">
        <v>1024</v>
      </c>
      <c r="O1" s="33" t="s">
        <v>977</v>
      </c>
    </row>
    <row r="2" spans="2:19" s="44" customFormat="1" ht="14.25" customHeight="1" thickBot="1" x14ac:dyDescent="0.3">
      <c r="B2" s="53"/>
      <c r="C2" s="389" t="s">
        <v>978</v>
      </c>
      <c r="D2" s="389"/>
      <c r="E2" s="389"/>
      <c r="F2" s="389"/>
      <c r="G2" s="389"/>
      <c r="H2" s="389"/>
      <c r="I2" s="389"/>
      <c r="J2" s="389"/>
      <c r="K2" s="389"/>
      <c r="L2" s="389"/>
      <c r="M2" s="389"/>
      <c r="N2" s="389"/>
      <c r="O2" s="389"/>
    </row>
    <row r="3" spans="2:19" s="44" customFormat="1" ht="15.6" customHeight="1" thickBot="1" x14ac:dyDescent="0.3">
      <c r="B3" s="395">
        <v>1</v>
      </c>
      <c r="C3" s="36">
        <v>1</v>
      </c>
      <c r="D3" s="36">
        <v>1</v>
      </c>
      <c r="E3" s="36">
        <v>0</v>
      </c>
      <c r="F3" s="36">
        <v>0</v>
      </c>
      <c r="G3" s="36">
        <v>0</v>
      </c>
      <c r="H3" s="34">
        <v>14</v>
      </c>
      <c r="I3" s="36">
        <v>0</v>
      </c>
      <c r="J3" s="36">
        <v>162</v>
      </c>
      <c r="K3" s="395" t="s">
        <v>1025</v>
      </c>
      <c r="L3" s="394" t="s">
        <v>980</v>
      </c>
      <c r="M3" s="394" t="s">
        <v>204</v>
      </c>
      <c r="N3" s="347"/>
      <c r="O3" s="394"/>
    </row>
    <row r="4" spans="2:19" s="44" customFormat="1" x14ac:dyDescent="0.25">
      <c r="B4" s="395"/>
      <c r="C4" s="35">
        <v>1</v>
      </c>
      <c r="D4" s="35">
        <v>1</v>
      </c>
      <c r="E4" s="35">
        <v>0</v>
      </c>
      <c r="F4" s="35">
        <v>0</v>
      </c>
      <c r="G4" s="35">
        <v>0</v>
      </c>
      <c r="H4" s="35" t="s">
        <v>131</v>
      </c>
      <c r="I4" s="35">
        <v>0</v>
      </c>
      <c r="J4" s="35">
        <v>162</v>
      </c>
      <c r="K4" s="395"/>
      <c r="L4" s="394"/>
      <c r="M4" s="394"/>
      <c r="N4" s="347"/>
      <c r="O4" s="394"/>
    </row>
    <row r="5" spans="2:19" s="44" customFormat="1" x14ac:dyDescent="0.25">
      <c r="B5" s="304">
        <v>2</v>
      </c>
      <c r="C5" s="34">
        <v>1</v>
      </c>
      <c r="D5" s="34">
        <v>1</v>
      </c>
      <c r="E5" s="34">
        <v>0</v>
      </c>
      <c r="F5" s="34">
        <v>0</v>
      </c>
      <c r="G5" s="34">
        <v>0</v>
      </c>
      <c r="H5" s="34">
        <v>1</v>
      </c>
      <c r="I5" s="34">
        <v>0</v>
      </c>
      <c r="J5" s="34">
        <v>162</v>
      </c>
      <c r="K5" s="304" t="s">
        <v>1026</v>
      </c>
      <c r="L5" s="301" t="s">
        <v>982</v>
      </c>
      <c r="M5" s="301" t="s">
        <v>1027</v>
      </c>
      <c r="N5" s="90"/>
      <c r="O5" s="301"/>
      <c r="R5" s="45"/>
    </row>
    <row r="6" spans="2:19" s="44" customFormat="1" x14ac:dyDescent="0.25">
      <c r="B6" s="304"/>
      <c r="C6" s="34">
        <v>2</v>
      </c>
      <c r="D6" s="34">
        <v>1</v>
      </c>
      <c r="E6" s="34">
        <v>0</v>
      </c>
      <c r="F6" s="34">
        <v>1</v>
      </c>
      <c r="G6" s="34">
        <v>0</v>
      </c>
      <c r="H6" s="34">
        <v>1</v>
      </c>
      <c r="I6" s="34">
        <v>0</v>
      </c>
      <c r="J6" s="34">
        <v>162</v>
      </c>
      <c r="K6" s="304"/>
      <c r="L6" s="301"/>
      <c r="M6" s="301"/>
      <c r="N6" s="90"/>
      <c r="O6" s="301"/>
      <c r="Q6" s="48" t="s">
        <v>1028</v>
      </c>
      <c r="R6" s="45"/>
      <c r="S6" s="48"/>
    </row>
    <row r="7" spans="2:19" s="44" customFormat="1" x14ac:dyDescent="0.25">
      <c r="B7" s="304"/>
      <c r="C7" s="34" t="s">
        <v>984</v>
      </c>
      <c r="D7" s="34" t="s">
        <v>984</v>
      </c>
      <c r="E7" s="34" t="s">
        <v>984</v>
      </c>
      <c r="F7" s="34" t="s">
        <v>984</v>
      </c>
      <c r="G7" s="34" t="s">
        <v>984</v>
      </c>
      <c r="H7" s="34" t="s">
        <v>984</v>
      </c>
      <c r="I7" s="34" t="s">
        <v>984</v>
      </c>
      <c r="J7" s="34" t="s">
        <v>984</v>
      </c>
      <c r="K7" s="304"/>
      <c r="L7" s="301"/>
      <c r="M7" s="301"/>
      <c r="N7" s="90"/>
      <c r="O7" s="301"/>
    </row>
    <row r="8" spans="2:19" s="44" customFormat="1" x14ac:dyDescent="0.25">
      <c r="B8" s="304"/>
      <c r="C8" s="34">
        <v>14</v>
      </c>
      <c r="D8" s="34">
        <v>1</v>
      </c>
      <c r="E8" s="34">
        <v>0</v>
      </c>
      <c r="F8" s="34">
        <v>13</v>
      </c>
      <c r="G8" s="34">
        <v>0</v>
      </c>
      <c r="H8" s="34">
        <v>1</v>
      </c>
      <c r="I8" s="34">
        <v>0</v>
      </c>
      <c r="J8" s="34">
        <v>162</v>
      </c>
      <c r="K8" s="304"/>
      <c r="L8" s="301"/>
      <c r="M8" s="301"/>
      <c r="N8" s="90"/>
      <c r="O8" s="301"/>
    </row>
    <row r="9" spans="2:19" s="44" customFormat="1" x14ac:dyDescent="0.25">
      <c r="B9" s="304"/>
      <c r="C9" s="35">
        <v>1</v>
      </c>
      <c r="D9" s="35">
        <v>1</v>
      </c>
      <c r="E9" s="35">
        <v>0</v>
      </c>
      <c r="F9" s="35">
        <v>0</v>
      </c>
      <c r="G9" s="35">
        <v>0</v>
      </c>
      <c r="H9" s="35" t="s">
        <v>131</v>
      </c>
      <c r="I9" s="35">
        <v>0</v>
      </c>
      <c r="J9" s="35">
        <v>162</v>
      </c>
      <c r="K9" s="304"/>
      <c r="L9" s="301"/>
      <c r="M9" s="301"/>
      <c r="N9" s="90"/>
      <c r="O9" s="301"/>
    </row>
    <row r="10" spans="2:19" s="44" customFormat="1" x14ac:dyDescent="0.25">
      <c r="B10" s="304">
        <v>3</v>
      </c>
      <c r="C10" s="310">
        <v>1</v>
      </c>
      <c r="D10" s="310">
        <v>9</v>
      </c>
      <c r="E10" s="34">
        <v>0</v>
      </c>
      <c r="F10" s="34">
        <v>0</v>
      </c>
      <c r="G10" s="34">
        <v>0</v>
      </c>
      <c r="H10" s="34">
        <v>14</v>
      </c>
      <c r="I10" s="34">
        <v>0</v>
      </c>
      <c r="J10" s="34">
        <v>18</v>
      </c>
      <c r="K10" s="301" t="s">
        <v>1029</v>
      </c>
      <c r="L10" s="301" t="s">
        <v>986</v>
      </c>
      <c r="M10" s="301" t="s">
        <v>1030</v>
      </c>
      <c r="N10" s="90"/>
      <c r="O10" s="301"/>
    </row>
    <row r="11" spans="2:19" s="44" customFormat="1" x14ac:dyDescent="0.25">
      <c r="B11" s="302"/>
      <c r="C11" s="311"/>
      <c r="D11" s="311"/>
      <c r="E11" s="34">
        <v>1</v>
      </c>
      <c r="F11" s="34">
        <v>0</v>
      </c>
      <c r="G11" s="34">
        <v>0</v>
      </c>
      <c r="H11" s="34">
        <v>14</v>
      </c>
      <c r="I11" s="34">
        <v>18</v>
      </c>
      <c r="J11" s="34">
        <v>18</v>
      </c>
      <c r="K11" s="307"/>
      <c r="L11" s="307"/>
      <c r="M11" s="307"/>
      <c r="N11" s="91"/>
      <c r="O11" s="307"/>
    </row>
    <row r="12" spans="2:19" s="44" customFormat="1" x14ac:dyDescent="0.25">
      <c r="B12" s="302"/>
      <c r="C12" s="311"/>
      <c r="D12" s="311"/>
      <c r="E12" s="34" t="s">
        <v>984</v>
      </c>
      <c r="F12" s="34" t="s">
        <v>984</v>
      </c>
      <c r="G12" s="34" t="s">
        <v>984</v>
      </c>
      <c r="H12" s="34" t="s">
        <v>984</v>
      </c>
      <c r="I12" s="34" t="s">
        <v>984</v>
      </c>
      <c r="J12" s="34" t="s">
        <v>984</v>
      </c>
      <c r="K12" s="307"/>
      <c r="L12" s="307"/>
      <c r="M12" s="307"/>
      <c r="N12" s="91"/>
      <c r="O12" s="307"/>
    </row>
    <row r="13" spans="2:19" s="44" customFormat="1" x14ac:dyDescent="0.25">
      <c r="B13" s="302"/>
      <c r="C13" s="312"/>
      <c r="D13" s="312"/>
      <c r="E13" s="34">
        <v>8</v>
      </c>
      <c r="F13" s="34">
        <v>0</v>
      </c>
      <c r="G13" s="34">
        <v>0</v>
      </c>
      <c r="H13" s="34">
        <v>14</v>
      </c>
      <c r="I13" s="34">
        <v>144</v>
      </c>
      <c r="J13" s="34">
        <v>18</v>
      </c>
      <c r="K13" s="307"/>
      <c r="L13" s="307"/>
      <c r="M13" s="307"/>
      <c r="N13" s="91"/>
      <c r="O13" s="307"/>
    </row>
    <row r="14" spans="2:19" s="44" customFormat="1" x14ac:dyDescent="0.25">
      <c r="B14" s="302"/>
      <c r="C14" s="315">
        <v>1</v>
      </c>
      <c r="D14" s="315">
        <v>6</v>
      </c>
      <c r="E14" s="35">
        <v>0</v>
      </c>
      <c r="F14" s="35">
        <v>0</v>
      </c>
      <c r="G14" s="35">
        <v>0</v>
      </c>
      <c r="H14" s="35" t="s">
        <v>131</v>
      </c>
      <c r="I14" s="35">
        <v>0</v>
      </c>
      <c r="J14" s="35">
        <v>18</v>
      </c>
      <c r="K14" s="307"/>
      <c r="L14" s="307"/>
      <c r="M14" s="307"/>
      <c r="N14" s="91"/>
      <c r="O14" s="307"/>
    </row>
    <row r="15" spans="2:19" s="44" customFormat="1" x14ac:dyDescent="0.25">
      <c r="B15" s="302"/>
      <c r="C15" s="318"/>
      <c r="D15" s="318"/>
      <c r="E15" s="43" t="s">
        <v>984</v>
      </c>
      <c r="F15" s="43" t="s">
        <v>984</v>
      </c>
      <c r="G15" s="43" t="s">
        <v>984</v>
      </c>
      <c r="H15" s="43" t="s">
        <v>984</v>
      </c>
      <c r="I15" s="43" t="s">
        <v>651</v>
      </c>
      <c r="J15" s="43" t="s">
        <v>984</v>
      </c>
      <c r="K15" s="307"/>
      <c r="L15" s="307"/>
      <c r="M15" s="307"/>
      <c r="N15" s="91"/>
      <c r="O15" s="307"/>
    </row>
    <row r="16" spans="2:19" s="44" customFormat="1" ht="14.45" customHeight="1" x14ac:dyDescent="0.25">
      <c r="B16" s="302"/>
      <c r="C16" s="316"/>
      <c r="D16" s="316"/>
      <c r="E16" s="35">
        <v>5</v>
      </c>
      <c r="F16" s="35">
        <v>0</v>
      </c>
      <c r="G16" s="35">
        <v>0</v>
      </c>
      <c r="H16" s="35" t="s">
        <v>131</v>
      </c>
      <c r="I16" s="35">
        <v>90</v>
      </c>
      <c r="J16" s="35">
        <v>1</v>
      </c>
      <c r="K16" s="307"/>
      <c r="L16" s="307"/>
      <c r="M16" s="307"/>
      <c r="N16" s="91"/>
      <c r="O16" s="307"/>
    </row>
    <row r="17" spans="2:15" s="44" customFormat="1" x14ac:dyDescent="0.25">
      <c r="B17" s="302"/>
      <c r="C17" s="315">
        <v>2</v>
      </c>
      <c r="D17" s="315">
        <v>4</v>
      </c>
      <c r="E17" s="35">
        <v>5</v>
      </c>
      <c r="F17" s="35">
        <v>0</v>
      </c>
      <c r="G17" s="35">
        <v>0</v>
      </c>
      <c r="H17" s="35" t="s">
        <v>131</v>
      </c>
      <c r="I17" s="35" t="s">
        <v>651</v>
      </c>
      <c r="J17" s="35">
        <v>17</v>
      </c>
      <c r="K17" s="307"/>
      <c r="L17" s="307"/>
      <c r="M17" s="307"/>
      <c r="N17" s="91"/>
      <c r="O17" s="307"/>
    </row>
    <row r="18" spans="2:15" s="44" customFormat="1" x14ac:dyDescent="0.25">
      <c r="B18" s="302"/>
      <c r="C18" s="318"/>
      <c r="D18" s="318"/>
      <c r="E18" s="43" t="s">
        <v>984</v>
      </c>
      <c r="F18" s="43" t="s">
        <v>984</v>
      </c>
      <c r="G18" s="43" t="s">
        <v>984</v>
      </c>
      <c r="H18" s="43" t="s">
        <v>984</v>
      </c>
      <c r="I18" s="43" t="s">
        <v>984</v>
      </c>
      <c r="J18" s="43" t="s">
        <v>984</v>
      </c>
      <c r="K18" s="307"/>
      <c r="L18" s="307"/>
      <c r="M18" s="307"/>
      <c r="N18" s="91"/>
      <c r="O18" s="307"/>
    </row>
    <row r="19" spans="2:15" s="44" customFormat="1" x14ac:dyDescent="0.25">
      <c r="B19" s="303"/>
      <c r="C19" s="316"/>
      <c r="D19" s="316"/>
      <c r="E19" s="35">
        <v>8</v>
      </c>
      <c r="F19" s="35">
        <v>0</v>
      </c>
      <c r="G19" s="35">
        <v>0</v>
      </c>
      <c r="H19" s="35" t="s">
        <v>131</v>
      </c>
      <c r="I19" s="35">
        <v>144</v>
      </c>
      <c r="J19" s="35">
        <v>18</v>
      </c>
      <c r="K19" s="308"/>
      <c r="L19" s="308"/>
      <c r="M19" s="308"/>
      <c r="N19" s="92"/>
      <c r="O19" s="308"/>
    </row>
    <row r="20" spans="2:15" s="44" customFormat="1" x14ac:dyDescent="0.25">
      <c r="B20" s="304">
        <v>4</v>
      </c>
      <c r="C20" s="310">
        <v>1</v>
      </c>
      <c r="D20" s="310">
        <v>9</v>
      </c>
      <c r="E20" s="34">
        <v>0</v>
      </c>
      <c r="F20" s="34">
        <v>0</v>
      </c>
      <c r="G20" s="34">
        <v>0</v>
      </c>
      <c r="H20" s="34">
        <v>1</v>
      </c>
      <c r="I20" s="34">
        <v>0</v>
      </c>
      <c r="J20" s="34">
        <v>18</v>
      </c>
      <c r="K20" s="301" t="s">
        <v>1031</v>
      </c>
      <c r="L20" s="301" t="s">
        <v>988</v>
      </c>
      <c r="M20" s="301" t="s">
        <v>1032</v>
      </c>
      <c r="N20" s="90"/>
      <c r="O20" s="301"/>
    </row>
    <row r="21" spans="2:15" s="44" customFormat="1" x14ac:dyDescent="0.25">
      <c r="B21" s="302"/>
      <c r="C21" s="311"/>
      <c r="D21" s="311"/>
      <c r="E21" s="34">
        <v>1</v>
      </c>
      <c r="F21" s="34">
        <v>0</v>
      </c>
      <c r="G21" s="34">
        <v>0</v>
      </c>
      <c r="H21" s="34">
        <v>1</v>
      </c>
      <c r="I21" s="34">
        <v>18</v>
      </c>
      <c r="J21" s="34">
        <v>18</v>
      </c>
      <c r="K21" s="307"/>
      <c r="L21" s="307"/>
      <c r="M21" s="307"/>
      <c r="N21" s="91"/>
      <c r="O21" s="307"/>
    </row>
    <row r="22" spans="2:15" s="44" customFormat="1" x14ac:dyDescent="0.25">
      <c r="B22" s="302"/>
      <c r="C22" s="311"/>
      <c r="D22" s="311"/>
      <c r="E22" s="34" t="s">
        <v>984</v>
      </c>
      <c r="F22" s="34" t="s">
        <v>984</v>
      </c>
      <c r="G22" s="34" t="s">
        <v>984</v>
      </c>
      <c r="H22" s="34" t="s">
        <v>984</v>
      </c>
      <c r="I22" s="34" t="s">
        <v>984</v>
      </c>
      <c r="J22" s="34" t="s">
        <v>984</v>
      </c>
      <c r="K22" s="307"/>
      <c r="L22" s="307"/>
      <c r="M22" s="307"/>
      <c r="N22" s="91"/>
      <c r="O22" s="307"/>
    </row>
    <row r="23" spans="2:15" s="44" customFormat="1" x14ac:dyDescent="0.25">
      <c r="B23" s="302"/>
      <c r="C23" s="312"/>
      <c r="D23" s="312"/>
      <c r="E23" s="34">
        <v>8</v>
      </c>
      <c r="F23" s="34">
        <v>0</v>
      </c>
      <c r="G23" s="34">
        <v>0</v>
      </c>
      <c r="H23" s="34">
        <v>1</v>
      </c>
      <c r="I23" s="34">
        <v>144</v>
      </c>
      <c r="J23" s="34">
        <v>18</v>
      </c>
      <c r="K23" s="307"/>
      <c r="L23" s="307"/>
      <c r="M23" s="307"/>
      <c r="N23" s="91"/>
      <c r="O23" s="307"/>
    </row>
    <row r="24" spans="2:15" s="44" customFormat="1" x14ac:dyDescent="0.25">
      <c r="B24" s="302"/>
      <c r="C24" s="315">
        <v>1</v>
      </c>
      <c r="D24" s="315">
        <v>6</v>
      </c>
      <c r="E24" s="35">
        <v>0</v>
      </c>
      <c r="F24" s="35">
        <v>0</v>
      </c>
      <c r="G24" s="35">
        <v>0</v>
      </c>
      <c r="H24" s="35" t="s">
        <v>131</v>
      </c>
      <c r="I24" s="35">
        <v>0</v>
      </c>
      <c r="J24" s="35">
        <v>18</v>
      </c>
      <c r="K24" s="307"/>
      <c r="L24" s="307"/>
      <c r="M24" s="307"/>
      <c r="N24" s="91"/>
      <c r="O24" s="307"/>
    </row>
    <row r="25" spans="2:15" s="44" customFormat="1" x14ac:dyDescent="0.25">
      <c r="B25" s="302"/>
      <c r="C25" s="318"/>
      <c r="D25" s="318"/>
      <c r="E25" s="43" t="s">
        <v>984</v>
      </c>
      <c r="F25" s="43" t="s">
        <v>984</v>
      </c>
      <c r="G25" s="43" t="s">
        <v>984</v>
      </c>
      <c r="H25" s="43" t="s">
        <v>984</v>
      </c>
      <c r="I25" s="43" t="s">
        <v>984</v>
      </c>
      <c r="J25" s="43" t="s">
        <v>984</v>
      </c>
      <c r="K25" s="307"/>
      <c r="L25" s="307"/>
      <c r="M25" s="307"/>
      <c r="N25" s="91"/>
      <c r="O25" s="307"/>
    </row>
    <row r="26" spans="2:15" s="44" customFormat="1" x14ac:dyDescent="0.25">
      <c r="B26" s="302"/>
      <c r="C26" s="316"/>
      <c r="D26" s="316"/>
      <c r="E26" s="35">
        <v>5</v>
      </c>
      <c r="F26" s="35">
        <v>0</v>
      </c>
      <c r="G26" s="35">
        <v>0</v>
      </c>
      <c r="H26" s="35" t="s">
        <v>131</v>
      </c>
      <c r="I26" s="35">
        <v>90</v>
      </c>
      <c r="J26" s="35">
        <v>1</v>
      </c>
      <c r="K26" s="307"/>
      <c r="L26" s="307"/>
      <c r="M26" s="307"/>
      <c r="N26" s="91"/>
      <c r="O26" s="307"/>
    </row>
    <row r="27" spans="2:15" s="44" customFormat="1" ht="14.45" customHeight="1" x14ac:dyDescent="0.25">
      <c r="B27" s="302"/>
      <c r="C27" s="315">
        <v>2</v>
      </c>
      <c r="D27" s="315">
        <v>4</v>
      </c>
      <c r="E27" s="35">
        <v>5</v>
      </c>
      <c r="F27" s="35">
        <v>0</v>
      </c>
      <c r="G27" s="35">
        <v>0</v>
      </c>
      <c r="H27" s="35" t="s">
        <v>131</v>
      </c>
      <c r="I27" s="35">
        <v>91</v>
      </c>
      <c r="J27" s="35">
        <v>17</v>
      </c>
      <c r="K27" s="307"/>
      <c r="L27" s="307"/>
      <c r="M27" s="307"/>
      <c r="N27" s="91"/>
      <c r="O27" s="307"/>
    </row>
    <row r="28" spans="2:15" s="44" customFormat="1" x14ac:dyDescent="0.25">
      <c r="B28" s="302"/>
      <c r="C28" s="318"/>
      <c r="D28" s="318"/>
      <c r="E28" s="43" t="s">
        <v>984</v>
      </c>
      <c r="F28" s="43" t="s">
        <v>984</v>
      </c>
      <c r="G28" s="43" t="s">
        <v>984</v>
      </c>
      <c r="H28" s="43" t="s">
        <v>984</v>
      </c>
      <c r="I28" s="43" t="s">
        <v>984</v>
      </c>
      <c r="J28" s="43" t="s">
        <v>984</v>
      </c>
      <c r="K28" s="307"/>
      <c r="L28" s="307"/>
      <c r="M28" s="307"/>
      <c r="N28" s="91"/>
      <c r="O28" s="307"/>
    </row>
    <row r="29" spans="2:15" s="44" customFormat="1" x14ac:dyDescent="0.25">
      <c r="B29" s="303"/>
      <c r="C29" s="316"/>
      <c r="D29" s="316"/>
      <c r="E29" s="35">
        <v>8</v>
      </c>
      <c r="F29" s="35">
        <v>0</v>
      </c>
      <c r="G29" s="35">
        <v>0</v>
      </c>
      <c r="H29" s="35" t="s">
        <v>131</v>
      </c>
      <c r="I29" s="35">
        <v>144</v>
      </c>
      <c r="J29" s="35">
        <v>18</v>
      </c>
      <c r="K29" s="308"/>
      <c r="L29" s="308"/>
      <c r="M29" s="308"/>
      <c r="N29" s="92"/>
      <c r="O29" s="308"/>
    </row>
    <row r="30" spans="2:15" s="44" customFormat="1" x14ac:dyDescent="0.25">
      <c r="B30" s="304">
        <v>5</v>
      </c>
      <c r="C30" s="310">
        <v>1</v>
      </c>
      <c r="D30" s="310">
        <v>7</v>
      </c>
      <c r="E30" s="34">
        <v>0</v>
      </c>
      <c r="F30" s="34">
        <v>0</v>
      </c>
      <c r="G30" s="34">
        <v>1</v>
      </c>
      <c r="H30" s="34">
        <v>2</v>
      </c>
      <c r="I30" s="34">
        <v>0</v>
      </c>
      <c r="J30" s="34">
        <v>162</v>
      </c>
      <c r="K30" s="304" t="s">
        <v>1033</v>
      </c>
      <c r="L30" s="301" t="s">
        <v>991</v>
      </c>
      <c r="M30" s="301" t="s">
        <v>1034</v>
      </c>
      <c r="N30" s="90"/>
      <c r="O30" s="301"/>
    </row>
    <row r="31" spans="2:15" s="44" customFormat="1" x14ac:dyDescent="0.25">
      <c r="B31" s="302"/>
      <c r="C31" s="311"/>
      <c r="D31" s="311"/>
      <c r="E31" s="34">
        <v>1</v>
      </c>
      <c r="F31" s="34">
        <v>2</v>
      </c>
      <c r="G31" s="34">
        <v>1</v>
      </c>
      <c r="H31" s="34">
        <v>2</v>
      </c>
      <c r="I31" s="34">
        <v>0</v>
      </c>
      <c r="J31" s="34">
        <v>162</v>
      </c>
      <c r="K31" s="302"/>
      <c r="L31" s="307"/>
      <c r="M31" s="307"/>
      <c r="N31" s="91"/>
      <c r="O31" s="307"/>
    </row>
    <row r="32" spans="2:15" s="44" customFormat="1" x14ac:dyDescent="0.25">
      <c r="B32" s="302"/>
      <c r="C32" s="311"/>
      <c r="D32" s="311"/>
      <c r="E32" s="34" t="s">
        <v>984</v>
      </c>
      <c r="F32" s="34" t="s">
        <v>984</v>
      </c>
      <c r="G32" s="34" t="s">
        <v>984</v>
      </c>
      <c r="H32" s="34" t="s">
        <v>984</v>
      </c>
      <c r="I32" s="34" t="s">
        <v>984</v>
      </c>
      <c r="J32" s="34" t="s">
        <v>984</v>
      </c>
      <c r="K32" s="302"/>
      <c r="L32" s="307"/>
      <c r="M32" s="307"/>
      <c r="N32" s="91"/>
      <c r="O32" s="307"/>
    </row>
    <row r="33" spans="2:15" s="44" customFormat="1" x14ac:dyDescent="0.25">
      <c r="B33" s="302"/>
      <c r="C33" s="312"/>
      <c r="D33" s="312"/>
      <c r="E33" s="34">
        <v>6</v>
      </c>
      <c r="F33" s="34">
        <v>12</v>
      </c>
      <c r="G33" s="34">
        <v>1</v>
      </c>
      <c r="H33" s="34">
        <v>2</v>
      </c>
      <c r="I33" s="34">
        <v>0</v>
      </c>
      <c r="J33" s="34">
        <v>162</v>
      </c>
      <c r="K33" s="302"/>
      <c r="L33" s="307"/>
      <c r="M33" s="307"/>
      <c r="N33" s="91"/>
      <c r="O33" s="307"/>
    </row>
    <row r="34" spans="2:15" s="44" customFormat="1" ht="14.45" customHeight="1" x14ac:dyDescent="0.25">
      <c r="B34" s="302"/>
      <c r="C34" s="35">
        <v>1</v>
      </c>
      <c r="D34" s="35">
        <v>1</v>
      </c>
      <c r="E34" s="35">
        <v>0</v>
      </c>
      <c r="F34" s="35">
        <v>0</v>
      </c>
      <c r="G34" s="35">
        <v>0</v>
      </c>
      <c r="H34" s="35" t="s">
        <v>131</v>
      </c>
      <c r="I34" s="35">
        <v>0</v>
      </c>
      <c r="J34" s="35">
        <v>162</v>
      </c>
      <c r="K34" s="302"/>
      <c r="L34" s="307"/>
      <c r="M34" s="307"/>
      <c r="N34" s="91"/>
      <c r="O34" s="307"/>
    </row>
    <row r="35" spans="2:15" s="44" customFormat="1" x14ac:dyDescent="0.25">
      <c r="B35" s="302"/>
      <c r="C35" s="35">
        <v>2</v>
      </c>
      <c r="D35" s="35">
        <v>1</v>
      </c>
      <c r="E35" s="35">
        <v>0</v>
      </c>
      <c r="F35" s="35">
        <v>0</v>
      </c>
      <c r="G35" s="35">
        <v>0</v>
      </c>
      <c r="H35" s="35" t="s">
        <v>131</v>
      </c>
      <c r="I35" s="35">
        <v>0</v>
      </c>
      <c r="J35" s="35">
        <v>162</v>
      </c>
      <c r="K35" s="302"/>
      <c r="L35" s="307"/>
      <c r="M35" s="307"/>
      <c r="N35" s="91"/>
      <c r="O35" s="307"/>
    </row>
    <row r="36" spans="2:15" s="44" customFormat="1" x14ac:dyDescent="0.25">
      <c r="B36" s="302"/>
      <c r="C36" s="43" t="s">
        <v>984</v>
      </c>
      <c r="D36" s="43" t="s">
        <v>984</v>
      </c>
      <c r="E36" s="43" t="s">
        <v>984</v>
      </c>
      <c r="F36" s="43" t="s">
        <v>984</v>
      </c>
      <c r="G36" s="43" t="s">
        <v>984</v>
      </c>
      <c r="H36" s="43" t="s">
        <v>984</v>
      </c>
      <c r="I36" s="43" t="s">
        <v>984</v>
      </c>
      <c r="J36" s="43" t="s">
        <v>984</v>
      </c>
      <c r="K36" s="302"/>
      <c r="L36" s="307"/>
      <c r="M36" s="307"/>
      <c r="N36" s="91"/>
      <c r="O36" s="307"/>
    </row>
    <row r="37" spans="2:15" s="44" customFormat="1" x14ac:dyDescent="0.25">
      <c r="B37" s="302"/>
      <c r="C37" s="35"/>
      <c r="D37" s="35"/>
      <c r="E37" s="35">
        <v>6</v>
      </c>
      <c r="F37" s="35">
        <v>13</v>
      </c>
      <c r="G37" s="35">
        <v>0</v>
      </c>
      <c r="H37" s="35" t="s">
        <v>131</v>
      </c>
      <c r="I37" s="35">
        <v>0</v>
      </c>
      <c r="J37" s="35">
        <v>162</v>
      </c>
      <c r="K37" s="302"/>
      <c r="L37" s="307"/>
      <c r="M37" s="307"/>
      <c r="N37" s="91"/>
      <c r="O37" s="307"/>
    </row>
    <row r="38" spans="2:15" s="44" customFormat="1" x14ac:dyDescent="0.25">
      <c r="B38" s="303"/>
      <c r="C38" s="35"/>
      <c r="D38" s="35"/>
      <c r="E38" s="35">
        <v>6</v>
      </c>
      <c r="F38" s="35">
        <v>13</v>
      </c>
      <c r="G38" s="35">
        <v>0</v>
      </c>
      <c r="H38" s="35" t="s">
        <v>131</v>
      </c>
      <c r="I38" s="35">
        <v>0</v>
      </c>
      <c r="J38" s="35">
        <v>162</v>
      </c>
      <c r="K38" s="303"/>
      <c r="L38" s="308"/>
      <c r="M38" s="308"/>
      <c r="N38" s="92"/>
      <c r="O38" s="308"/>
    </row>
    <row r="39" spans="2:15" s="44" customFormat="1" x14ac:dyDescent="0.25">
      <c r="B39" s="304">
        <v>6</v>
      </c>
      <c r="C39" s="310">
        <v>1</v>
      </c>
      <c r="D39" s="310">
        <v>9</v>
      </c>
      <c r="E39" s="34">
        <v>0</v>
      </c>
      <c r="F39" s="34">
        <v>0</v>
      </c>
      <c r="G39" s="34">
        <v>0</v>
      </c>
      <c r="H39" s="34">
        <v>1</v>
      </c>
      <c r="I39" s="34">
        <v>18</v>
      </c>
      <c r="J39" s="34">
        <v>18</v>
      </c>
      <c r="K39" s="301" t="s">
        <v>1035</v>
      </c>
      <c r="L39" s="301" t="s">
        <v>994</v>
      </c>
      <c r="M39" s="301" t="s">
        <v>1036</v>
      </c>
      <c r="N39" s="90"/>
      <c r="O39" s="301"/>
    </row>
    <row r="40" spans="2:15" s="44" customFormat="1" x14ac:dyDescent="0.25">
      <c r="B40" s="302"/>
      <c r="C40" s="311"/>
      <c r="D40" s="311"/>
      <c r="E40" s="34">
        <v>1</v>
      </c>
      <c r="F40" s="34">
        <v>0</v>
      </c>
      <c r="G40" s="34">
        <v>0</v>
      </c>
      <c r="H40" s="34">
        <v>1</v>
      </c>
      <c r="I40" s="34">
        <v>0</v>
      </c>
      <c r="J40" s="34">
        <v>18</v>
      </c>
      <c r="K40" s="307"/>
      <c r="L40" s="307"/>
      <c r="M40" s="307"/>
      <c r="N40" s="91"/>
      <c r="O40" s="307"/>
    </row>
    <row r="41" spans="2:15" s="44" customFormat="1" x14ac:dyDescent="0.25">
      <c r="B41" s="302"/>
      <c r="C41" s="311"/>
      <c r="D41" s="311"/>
      <c r="E41" s="34" t="s">
        <v>984</v>
      </c>
      <c r="F41" s="34" t="s">
        <v>984</v>
      </c>
      <c r="G41" s="34" t="s">
        <v>984</v>
      </c>
      <c r="H41" s="34" t="s">
        <v>984</v>
      </c>
      <c r="I41" s="34" t="s">
        <v>984</v>
      </c>
      <c r="J41" s="34" t="s">
        <v>984</v>
      </c>
      <c r="K41" s="307"/>
      <c r="L41" s="307"/>
      <c r="M41" s="307"/>
      <c r="N41" s="91"/>
      <c r="O41" s="307"/>
    </row>
    <row r="42" spans="2:15" s="44" customFormat="1" x14ac:dyDescent="0.25">
      <c r="B42" s="302"/>
      <c r="C42" s="312"/>
      <c r="D42" s="312"/>
      <c r="E42" s="34">
        <v>8</v>
      </c>
      <c r="F42" s="34">
        <v>0</v>
      </c>
      <c r="G42" s="34">
        <v>0</v>
      </c>
      <c r="H42" s="34">
        <v>1</v>
      </c>
      <c r="I42" s="34">
        <v>126</v>
      </c>
      <c r="J42" s="34">
        <v>18</v>
      </c>
      <c r="K42" s="307"/>
      <c r="L42" s="307"/>
      <c r="M42" s="307"/>
      <c r="N42" s="91"/>
      <c r="O42" s="307"/>
    </row>
    <row r="43" spans="2:15" s="44" customFormat="1" x14ac:dyDescent="0.25">
      <c r="B43" s="302"/>
      <c r="C43" s="315">
        <v>1</v>
      </c>
      <c r="D43" s="315">
        <v>6</v>
      </c>
      <c r="E43" s="35">
        <v>0</v>
      </c>
      <c r="F43" s="35">
        <v>0</v>
      </c>
      <c r="G43" s="35">
        <v>0</v>
      </c>
      <c r="H43" s="35" t="s">
        <v>131</v>
      </c>
      <c r="I43" s="35">
        <v>0</v>
      </c>
      <c r="J43" s="35">
        <v>18</v>
      </c>
      <c r="K43" s="307"/>
      <c r="L43" s="307"/>
      <c r="M43" s="307"/>
      <c r="N43" s="91"/>
      <c r="O43" s="307"/>
    </row>
    <row r="44" spans="2:15" s="44" customFormat="1" x14ac:dyDescent="0.25">
      <c r="B44" s="302"/>
      <c r="C44" s="318"/>
      <c r="D44" s="318"/>
      <c r="E44" s="43" t="s">
        <v>984</v>
      </c>
      <c r="F44" s="43" t="s">
        <v>984</v>
      </c>
      <c r="G44" s="43" t="s">
        <v>984</v>
      </c>
      <c r="H44" s="43" t="s">
        <v>984</v>
      </c>
      <c r="I44" s="43" t="s">
        <v>984</v>
      </c>
      <c r="J44" s="43" t="s">
        <v>984</v>
      </c>
      <c r="K44" s="307"/>
      <c r="L44" s="307"/>
      <c r="M44" s="307"/>
      <c r="N44" s="91"/>
      <c r="O44" s="307"/>
    </row>
    <row r="45" spans="2:15" s="44" customFormat="1" x14ac:dyDescent="0.25">
      <c r="B45" s="302"/>
      <c r="C45" s="316"/>
      <c r="D45" s="316"/>
      <c r="E45" s="35">
        <v>5</v>
      </c>
      <c r="F45" s="35">
        <v>0</v>
      </c>
      <c r="G45" s="35">
        <v>0</v>
      </c>
      <c r="H45" s="35" t="s">
        <v>131</v>
      </c>
      <c r="I45" s="35">
        <v>90</v>
      </c>
      <c r="J45" s="35">
        <v>1</v>
      </c>
      <c r="K45" s="307"/>
      <c r="L45" s="307"/>
      <c r="M45" s="307"/>
      <c r="N45" s="91"/>
      <c r="O45" s="307"/>
    </row>
    <row r="46" spans="2:15" s="44" customFormat="1" x14ac:dyDescent="0.25">
      <c r="B46" s="302"/>
      <c r="C46" s="315">
        <v>2</v>
      </c>
      <c r="D46" s="315">
        <v>4</v>
      </c>
      <c r="E46" s="35">
        <v>5</v>
      </c>
      <c r="F46" s="35">
        <v>0</v>
      </c>
      <c r="G46" s="35">
        <v>0</v>
      </c>
      <c r="H46" s="35" t="s">
        <v>131</v>
      </c>
      <c r="I46" s="35">
        <v>91</v>
      </c>
      <c r="J46" s="35">
        <v>17</v>
      </c>
      <c r="K46" s="307"/>
      <c r="L46" s="307"/>
      <c r="M46" s="307"/>
      <c r="N46" s="91"/>
      <c r="O46" s="307"/>
    </row>
    <row r="47" spans="2:15" s="44" customFormat="1" x14ac:dyDescent="0.25">
      <c r="B47" s="302"/>
      <c r="C47" s="318"/>
      <c r="D47" s="318"/>
      <c r="E47" s="43" t="s">
        <v>984</v>
      </c>
      <c r="F47" s="43" t="s">
        <v>984</v>
      </c>
      <c r="G47" s="43" t="s">
        <v>984</v>
      </c>
      <c r="H47" s="43" t="s">
        <v>984</v>
      </c>
      <c r="I47" s="43" t="s">
        <v>984</v>
      </c>
      <c r="J47" s="43" t="s">
        <v>984</v>
      </c>
      <c r="K47" s="307"/>
      <c r="L47" s="307"/>
      <c r="M47" s="307"/>
      <c r="N47" s="91"/>
      <c r="O47" s="307"/>
    </row>
    <row r="48" spans="2:15" s="44" customFormat="1" x14ac:dyDescent="0.25">
      <c r="B48" s="303"/>
      <c r="C48" s="316"/>
      <c r="D48" s="316"/>
      <c r="E48" s="35">
        <v>8</v>
      </c>
      <c r="F48" s="35">
        <v>0</v>
      </c>
      <c r="G48" s="35">
        <v>0</v>
      </c>
      <c r="H48" s="35" t="s">
        <v>131</v>
      </c>
      <c r="I48" s="35">
        <v>144</v>
      </c>
      <c r="J48" s="35">
        <v>18</v>
      </c>
      <c r="K48" s="308"/>
      <c r="L48" s="308"/>
      <c r="M48" s="308"/>
      <c r="N48" s="92"/>
      <c r="O48" s="308"/>
    </row>
    <row r="49" spans="2:15" s="44" customFormat="1" x14ac:dyDescent="0.25">
      <c r="B49" s="304">
        <v>7</v>
      </c>
      <c r="C49" s="310">
        <v>1</v>
      </c>
      <c r="D49" s="310">
        <v>6</v>
      </c>
      <c r="E49" s="34">
        <v>0</v>
      </c>
      <c r="F49" s="34">
        <v>0</v>
      </c>
      <c r="G49" s="34">
        <v>0</v>
      </c>
      <c r="H49" s="34">
        <v>1</v>
      </c>
      <c r="I49" s="34">
        <v>0</v>
      </c>
      <c r="J49" s="34">
        <v>18</v>
      </c>
      <c r="K49" s="301" t="s">
        <v>1037</v>
      </c>
      <c r="L49" s="301" t="s">
        <v>988</v>
      </c>
      <c r="M49" s="301" t="s">
        <v>1038</v>
      </c>
      <c r="N49" s="90"/>
      <c r="O49" s="301"/>
    </row>
    <row r="50" spans="2:15" s="44" customFormat="1" x14ac:dyDescent="0.25">
      <c r="B50" s="302"/>
      <c r="C50" s="311"/>
      <c r="D50" s="311"/>
      <c r="E50" s="34">
        <v>1</v>
      </c>
      <c r="F50" s="34">
        <v>0</v>
      </c>
      <c r="G50" s="34">
        <v>0</v>
      </c>
      <c r="H50" s="34">
        <v>1</v>
      </c>
      <c r="I50" s="34">
        <v>36</v>
      </c>
      <c r="J50" s="34">
        <v>18</v>
      </c>
      <c r="K50" s="307"/>
      <c r="L50" s="307"/>
      <c r="M50" s="307"/>
      <c r="N50" s="91"/>
      <c r="O50" s="307"/>
    </row>
    <row r="51" spans="2:15" s="44" customFormat="1" x14ac:dyDescent="0.25">
      <c r="B51" s="302"/>
      <c r="C51" s="311"/>
      <c r="D51" s="311"/>
      <c r="E51" s="34" t="s">
        <v>984</v>
      </c>
      <c r="F51" s="34" t="s">
        <v>984</v>
      </c>
      <c r="G51" s="34" t="s">
        <v>984</v>
      </c>
      <c r="H51" s="34" t="s">
        <v>984</v>
      </c>
      <c r="I51" s="34" t="s">
        <v>984</v>
      </c>
      <c r="J51" s="34" t="s">
        <v>984</v>
      </c>
      <c r="K51" s="307"/>
      <c r="L51" s="307"/>
      <c r="M51" s="307"/>
      <c r="N51" s="91"/>
      <c r="O51" s="307"/>
    </row>
    <row r="52" spans="2:15" s="44" customFormat="1" x14ac:dyDescent="0.25">
      <c r="B52" s="302"/>
      <c r="C52" s="312"/>
      <c r="D52" s="312"/>
      <c r="E52" s="34">
        <v>5</v>
      </c>
      <c r="F52" s="34">
        <v>0</v>
      </c>
      <c r="G52" s="34">
        <v>0</v>
      </c>
      <c r="H52" s="34">
        <v>1</v>
      </c>
      <c r="I52" s="34">
        <v>126</v>
      </c>
      <c r="J52" s="34">
        <v>18</v>
      </c>
      <c r="K52" s="307"/>
      <c r="L52" s="307"/>
      <c r="M52" s="307"/>
      <c r="N52" s="91"/>
      <c r="O52" s="307"/>
    </row>
    <row r="53" spans="2:15" s="44" customFormat="1" x14ac:dyDescent="0.25">
      <c r="B53" s="302"/>
      <c r="C53" s="315">
        <v>1</v>
      </c>
      <c r="D53" s="315">
        <v>4</v>
      </c>
      <c r="E53" s="35">
        <v>0</v>
      </c>
      <c r="F53" s="35">
        <v>0</v>
      </c>
      <c r="G53" s="35">
        <v>0</v>
      </c>
      <c r="H53" s="35" t="s">
        <v>131</v>
      </c>
      <c r="I53" s="35">
        <v>0</v>
      </c>
      <c r="J53" s="35">
        <v>18</v>
      </c>
      <c r="K53" s="307"/>
      <c r="L53" s="307"/>
      <c r="M53" s="307"/>
      <c r="N53" s="91"/>
      <c r="O53" s="307"/>
    </row>
    <row r="54" spans="2:15" s="44" customFormat="1" x14ac:dyDescent="0.25">
      <c r="B54" s="302"/>
      <c r="C54" s="318"/>
      <c r="D54" s="318"/>
      <c r="E54" s="43" t="s">
        <v>984</v>
      </c>
      <c r="F54" s="43" t="s">
        <v>984</v>
      </c>
      <c r="G54" s="43" t="s">
        <v>984</v>
      </c>
      <c r="H54" s="43" t="s">
        <v>984</v>
      </c>
      <c r="I54" s="43" t="s">
        <v>984</v>
      </c>
      <c r="J54" s="43" t="s">
        <v>984</v>
      </c>
      <c r="K54" s="307"/>
      <c r="L54" s="307"/>
      <c r="M54" s="307"/>
      <c r="N54" s="91"/>
      <c r="O54" s="307"/>
    </row>
    <row r="55" spans="2:15" s="44" customFormat="1" x14ac:dyDescent="0.25">
      <c r="B55" s="302"/>
      <c r="C55" s="316"/>
      <c r="D55" s="316"/>
      <c r="E55" s="35">
        <v>3</v>
      </c>
      <c r="F55" s="35">
        <v>0</v>
      </c>
      <c r="G55" s="35">
        <v>0</v>
      </c>
      <c r="H55" s="35" t="s">
        <v>131</v>
      </c>
      <c r="I55" s="35">
        <v>90</v>
      </c>
      <c r="J55" s="35">
        <v>1</v>
      </c>
      <c r="K55" s="307"/>
      <c r="L55" s="307"/>
      <c r="M55" s="307"/>
      <c r="N55" s="91"/>
      <c r="O55" s="307"/>
    </row>
    <row r="56" spans="2:15" s="44" customFormat="1" ht="14.45" customHeight="1" x14ac:dyDescent="0.25">
      <c r="B56" s="302"/>
      <c r="C56" s="315">
        <v>2</v>
      </c>
      <c r="D56" s="315">
        <v>3</v>
      </c>
      <c r="E56" s="35">
        <v>3</v>
      </c>
      <c r="F56" s="35">
        <v>0</v>
      </c>
      <c r="G56" s="35">
        <v>0</v>
      </c>
      <c r="H56" s="35" t="s">
        <v>131</v>
      </c>
      <c r="I56" s="35">
        <v>91</v>
      </c>
      <c r="J56" s="35">
        <v>17</v>
      </c>
      <c r="K56" s="307"/>
      <c r="L56" s="307"/>
      <c r="M56" s="307"/>
      <c r="N56" s="91"/>
      <c r="O56" s="307"/>
    </row>
    <row r="57" spans="2:15" s="44" customFormat="1" x14ac:dyDescent="0.25">
      <c r="B57" s="302"/>
      <c r="C57" s="318"/>
      <c r="D57" s="318"/>
      <c r="E57" s="43" t="s">
        <v>984</v>
      </c>
      <c r="F57" s="43" t="s">
        <v>984</v>
      </c>
      <c r="G57" s="43" t="s">
        <v>984</v>
      </c>
      <c r="H57" s="43" t="s">
        <v>984</v>
      </c>
      <c r="I57" s="43" t="s">
        <v>984</v>
      </c>
      <c r="J57" s="43" t="s">
        <v>984</v>
      </c>
      <c r="K57" s="307"/>
      <c r="L57" s="307"/>
      <c r="M57" s="307"/>
      <c r="N57" s="91"/>
      <c r="O57" s="307"/>
    </row>
    <row r="58" spans="2:15" s="44" customFormat="1" x14ac:dyDescent="0.25">
      <c r="B58" s="303"/>
      <c r="C58" s="316"/>
      <c r="D58" s="316"/>
      <c r="E58" s="35">
        <v>5</v>
      </c>
      <c r="F58" s="35">
        <v>0</v>
      </c>
      <c r="G58" s="35">
        <v>0</v>
      </c>
      <c r="H58" s="35" t="s">
        <v>131</v>
      </c>
      <c r="I58" s="35">
        <v>126</v>
      </c>
      <c r="J58" s="35">
        <v>18</v>
      </c>
      <c r="K58" s="308"/>
      <c r="L58" s="308"/>
      <c r="M58" s="308"/>
      <c r="N58" s="92"/>
      <c r="O58" s="308"/>
    </row>
    <row r="59" spans="2:15" s="44" customFormat="1" x14ac:dyDescent="0.25">
      <c r="B59" s="304">
        <v>8</v>
      </c>
      <c r="C59" s="310">
        <v>1</v>
      </c>
      <c r="D59" s="310">
        <v>6</v>
      </c>
      <c r="E59" s="34">
        <v>0</v>
      </c>
      <c r="F59" s="34">
        <v>0</v>
      </c>
      <c r="G59" s="34">
        <v>0</v>
      </c>
      <c r="H59" s="34">
        <v>1</v>
      </c>
      <c r="I59" s="34">
        <v>18</v>
      </c>
      <c r="J59" s="34">
        <v>18</v>
      </c>
      <c r="K59" s="301" t="s">
        <v>1039</v>
      </c>
      <c r="L59" s="301" t="s">
        <v>994</v>
      </c>
      <c r="M59" s="301" t="s">
        <v>1040</v>
      </c>
      <c r="N59" s="90"/>
      <c r="O59" s="301"/>
    </row>
    <row r="60" spans="2:15" s="44" customFormat="1" x14ac:dyDescent="0.25">
      <c r="B60" s="302"/>
      <c r="C60" s="311"/>
      <c r="D60" s="311"/>
      <c r="E60" s="34">
        <v>1</v>
      </c>
      <c r="F60" s="34">
        <v>0</v>
      </c>
      <c r="G60" s="34">
        <v>0</v>
      </c>
      <c r="H60" s="34">
        <v>1</v>
      </c>
      <c r="I60" s="34">
        <v>0</v>
      </c>
      <c r="J60" s="34">
        <v>18</v>
      </c>
      <c r="K60" s="307"/>
      <c r="L60" s="307"/>
      <c r="M60" s="307"/>
      <c r="N60" s="91"/>
      <c r="O60" s="307"/>
    </row>
    <row r="61" spans="2:15" s="44" customFormat="1" x14ac:dyDescent="0.25">
      <c r="B61" s="302"/>
      <c r="C61" s="311"/>
      <c r="D61" s="311"/>
      <c r="E61" s="34" t="s">
        <v>984</v>
      </c>
      <c r="F61" s="34" t="s">
        <v>984</v>
      </c>
      <c r="G61" s="34" t="s">
        <v>984</v>
      </c>
      <c r="H61" s="34" t="s">
        <v>984</v>
      </c>
      <c r="I61" s="34" t="s">
        <v>984</v>
      </c>
      <c r="J61" s="34" t="s">
        <v>984</v>
      </c>
      <c r="K61" s="307"/>
      <c r="L61" s="307"/>
      <c r="M61" s="307"/>
      <c r="N61" s="91"/>
      <c r="O61" s="307"/>
    </row>
    <row r="62" spans="2:15" s="44" customFormat="1" x14ac:dyDescent="0.25">
      <c r="B62" s="302"/>
      <c r="C62" s="312"/>
      <c r="D62" s="312"/>
      <c r="E62" s="34">
        <v>5</v>
      </c>
      <c r="F62" s="34">
        <v>0</v>
      </c>
      <c r="G62" s="34">
        <v>0</v>
      </c>
      <c r="H62" s="34">
        <v>1</v>
      </c>
      <c r="I62" s="34">
        <v>108</v>
      </c>
      <c r="J62" s="34">
        <v>18</v>
      </c>
      <c r="K62" s="307"/>
      <c r="L62" s="307"/>
      <c r="M62" s="307"/>
      <c r="N62" s="91"/>
      <c r="O62" s="307"/>
    </row>
    <row r="63" spans="2:15" s="44" customFormat="1" x14ac:dyDescent="0.25">
      <c r="B63" s="302"/>
      <c r="C63" s="315">
        <v>1</v>
      </c>
      <c r="D63" s="315">
        <v>4</v>
      </c>
      <c r="E63" s="35">
        <v>0</v>
      </c>
      <c r="F63" s="35">
        <v>0</v>
      </c>
      <c r="G63" s="35">
        <v>0</v>
      </c>
      <c r="H63" s="35" t="s">
        <v>131</v>
      </c>
      <c r="I63" s="35">
        <v>0</v>
      </c>
      <c r="J63" s="35">
        <v>18</v>
      </c>
      <c r="K63" s="307"/>
      <c r="L63" s="307"/>
      <c r="M63" s="307"/>
      <c r="N63" s="91"/>
      <c r="O63" s="307"/>
    </row>
    <row r="64" spans="2:15" s="44" customFormat="1" x14ac:dyDescent="0.25">
      <c r="B64" s="302"/>
      <c r="C64" s="318"/>
      <c r="D64" s="318"/>
      <c r="E64" s="43" t="s">
        <v>984</v>
      </c>
      <c r="F64" s="43" t="s">
        <v>984</v>
      </c>
      <c r="G64" s="43" t="s">
        <v>984</v>
      </c>
      <c r="H64" s="43" t="s">
        <v>984</v>
      </c>
      <c r="I64" s="43" t="s">
        <v>984</v>
      </c>
      <c r="J64" s="43" t="s">
        <v>984</v>
      </c>
      <c r="K64" s="307"/>
      <c r="L64" s="307"/>
      <c r="M64" s="307"/>
      <c r="N64" s="91"/>
      <c r="O64" s="307"/>
    </row>
    <row r="65" spans="2:15" s="44" customFormat="1" x14ac:dyDescent="0.25">
      <c r="B65" s="302"/>
      <c r="C65" s="316"/>
      <c r="D65" s="316"/>
      <c r="E65" s="35">
        <v>3</v>
      </c>
      <c r="F65" s="35">
        <v>0</v>
      </c>
      <c r="G65" s="35">
        <v>0</v>
      </c>
      <c r="H65" s="35" t="s">
        <v>131</v>
      </c>
      <c r="I65" s="35">
        <v>90</v>
      </c>
      <c r="J65" s="35">
        <v>1</v>
      </c>
      <c r="K65" s="307"/>
      <c r="L65" s="307"/>
      <c r="M65" s="307"/>
      <c r="N65" s="91"/>
      <c r="O65" s="307"/>
    </row>
    <row r="66" spans="2:15" s="44" customFormat="1" x14ac:dyDescent="0.25">
      <c r="B66" s="302"/>
      <c r="C66" s="315">
        <v>2</v>
      </c>
      <c r="D66" s="315">
        <v>3</v>
      </c>
      <c r="E66" s="35">
        <v>3</v>
      </c>
      <c r="F66" s="35">
        <v>0</v>
      </c>
      <c r="G66" s="35">
        <v>0</v>
      </c>
      <c r="H66" s="35" t="s">
        <v>131</v>
      </c>
      <c r="I66" s="35">
        <v>91</v>
      </c>
      <c r="J66" s="35">
        <v>17</v>
      </c>
      <c r="K66" s="307"/>
      <c r="L66" s="307"/>
      <c r="M66" s="307"/>
      <c r="N66" s="91"/>
      <c r="O66" s="307"/>
    </row>
    <row r="67" spans="2:15" s="44" customFormat="1" x14ac:dyDescent="0.25">
      <c r="B67" s="302"/>
      <c r="C67" s="318"/>
      <c r="D67" s="318"/>
      <c r="E67" s="43" t="s">
        <v>984</v>
      </c>
      <c r="F67" s="43" t="s">
        <v>984</v>
      </c>
      <c r="G67" s="43" t="s">
        <v>984</v>
      </c>
      <c r="H67" s="43" t="s">
        <v>984</v>
      </c>
      <c r="I67" s="43" t="s">
        <v>984</v>
      </c>
      <c r="J67" s="43" t="s">
        <v>984</v>
      </c>
      <c r="K67" s="307"/>
      <c r="L67" s="307"/>
      <c r="M67" s="307"/>
      <c r="N67" s="91"/>
      <c r="O67" s="307"/>
    </row>
    <row r="68" spans="2:15" s="44" customFormat="1" x14ac:dyDescent="0.25">
      <c r="B68" s="303"/>
      <c r="C68" s="316"/>
      <c r="D68" s="316"/>
      <c r="E68" s="35">
        <v>5</v>
      </c>
      <c r="F68" s="35">
        <v>0</v>
      </c>
      <c r="G68" s="35">
        <v>0</v>
      </c>
      <c r="H68" s="35" t="s">
        <v>131</v>
      </c>
      <c r="I68" s="35">
        <v>126</v>
      </c>
      <c r="J68" s="35">
        <v>18</v>
      </c>
      <c r="K68" s="308"/>
      <c r="L68" s="308"/>
      <c r="M68" s="308"/>
      <c r="N68" s="92"/>
      <c r="O68" s="308"/>
    </row>
    <row r="69" spans="2:15" s="44" customFormat="1" x14ac:dyDescent="0.25">
      <c r="B69" s="396">
        <v>42614</v>
      </c>
      <c r="C69" s="34">
        <v>1</v>
      </c>
      <c r="D69" s="34">
        <v>1</v>
      </c>
      <c r="E69" s="34">
        <v>0</v>
      </c>
      <c r="F69" s="34">
        <v>0</v>
      </c>
      <c r="G69" s="34">
        <v>0</v>
      </c>
      <c r="H69" s="34">
        <v>14</v>
      </c>
      <c r="I69" s="34">
        <v>0</v>
      </c>
      <c r="J69" s="34">
        <v>162</v>
      </c>
      <c r="K69" s="304" t="s">
        <v>1041</v>
      </c>
      <c r="L69" s="301" t="s">
        <v>980</v>
      </c>
      <c r="M69" s="301" t="s">
        <v>164</v>
      </c>
      <c r="N69" s="90"/>
      <c r="O69" s="301"/>
    </row>
    <row r="70" spans="2:15" s="44" customFormat="1" x14ac:dyDescent="0.25">
      <c r="B70" s="302"/>
      <c r="C70" s="35">
        <v>1</v>
      </c>
      <c r="D70" s="35">
        <v>1</v>
      </c>
      <c r="E70" s="35">
        <v>0</v>
      </c>
      <c r="F70" s="35">
        <v>0</v>
      </c>
      <c r="G70" s="35">
        <v>0</v>
      </c>
      <c r="H70" s="35">
        <v>14</v>
      </c>
      <c r="I70" s="35">
        <v>0</v>
      </c>
      <c r="J70" s="35">
        <v>162</v>
      </c>
      <c r="K70" s="302"/>
      <c r="L70" s="307"/>
      <c r="M70" s="307"/>
      <c r="N70" s="91"/>
      <c r="O70" s="307"/>
    </row>
    <row r="71" spans="2:15" s="44" customFormat="1" x14ac:dyDescent="0.25">
      <c r="B71" s="302"/>
      <c r="C71" s="35">
        <v>2</v>
      </c>
      <c r="D71" s="35">
        <v>1</v>
      </c>
      <c r="E71" s="35">
        <v>0</v>
      </c>
      <c r="F71" s="35"/>
      <c r="G71" s="35"/>
      <c r="H71" s="35"/>
      <c r="I71" s="35"/>
      <c r="J71" s="35"/>
      <c r="K71" s="302"/>
      <c r="L71" s="307"/>
      <c r="M71" s="307"/>
      <c r="N71" s="91"/>
      <c r="O71" s="307"/>
    </row>
    <row r="72" spans="2:15" s="44" customFormat="1" ht="15.75" thickBot="1" x14ac:dyDescent="0.3">
      <c r="B72" s="302"/>
      <c r="C72" s="43" t="s">
        <v>984</v>
      </c>
      <c r="D72" s="43" t="s">
        <v>984</v>
      </c>
      <c r="E72" s="43" t="s">
        <v>984</v>
      </c>
      <c r="F72" s="43"/>
      <c r="G72" s="43"/>
      <c r="H72" s="43"/>
      <c r="I72" s="43"/>
      <c r="J72" s="43"/>
      <c r="K72" s="302"/>
      <c r="L72" s="307"/>
      <c r="M72" s="307"/>
      <c r="N72" s="91"/>
      <c r="O72" s="307"/>
    </row>
    <row r="73" spans="2:15" s="44" customFormat="1" ht="15.75" thickBot="1" x14ac:dyDescent="0.3">
      <c r="B73" s="388" t="s">
        <v>1003</v>
      </c>
      <c r="C73" s="389"/>
      <c r="D73" s="389"/>
      <c r="E73" s="389"/>
      <c r="F73" s="389"/>
      <c r="G73" s="389"/>
      <c r="H73" s="389"/>
      <c r="I73" s="389"/>
      <c r="J73" s="389"/>
      <c r="K73" s="389"/>
      <c r="L73" s="389"/>
      <c r="M73" s="389"/>
      <c r="N73" s="389"/>
      <c r="O73" s="390"/>
    </row>
    <row r="74" spans="2:15" s="44" customFormat="1" x14ac:dyDescent="0.25">
      <c r="B74" s="395">
        <v>17</v>
      </c>
      <c r="C74" s="34">
        <v>1</v>
      </c>
      <c r="D74" s="34">
        <v>1</v>
      </c>
      <c r="E74" s="34">
        <v>0</v>
      </c>
      <c r="F74" s="34">
        <v>0</v>
      </c>
      <c r="G74" s="34">
        <v>0</v>
      </c>
      <c r="H74" s="34">
        <v>14</v>
      </c>
      <c r="I74" s="34">
        <v>0</v>
      </c>
      <c r="J74" s="34">
        <v>162</v>
      </c>
      <c r="K74" s="395" t="s">
        <v>1042</v>
      </c>
      <c r="L74" s="394" t="s">
        <v>980</v>
      </c>
      <c r="M74" s="394" t="s">
        <v>1043</v>
      </c>
      <c r="N74" s="93"/>
      <c r="O74" s="394"/>
    </row>
    <row r="75" spans="2:15" s="44" customFormat="1" x14ac:dyDescent="0.25">
      <c r="B75" s="302"/>
      <c r="C75" s="35">
        <v>1</v>
      </c>
      <c r="D75" s="35">
        <v>1</v>
      </c>
      <c r="E75" s="35">
        <v>0</v>
      </c>
      <c r="F75" s="35">
        <v>0</v>
      </c>
      <c r="G75" s="35">
        <v>0</v>
      </c>
      <c r="H75" s="35" t="s">
        <v>131</v>
      </c>
      <c r="I75" s="35">
        <v>0</v>
      </c>
      <c r="J75" s="35">
        <v>30</v>
      </c>
      <c r="K75" s="302"/>
      <c r="L75" s="307"/>
      <c r="M75" s="307"/>
      <c r="N75" s="91"/>
      <c r="O75" s="307"/>
    </row>
    <row r="76" spans="2:15" s="44" customFormat="1" x14ac:dyDescent="0.25">
      <c r="B76" s="302"/>
      <c r="C76" s="35">
        <v>2</v>
      </c>
      <c r="D76" s="35">
        <v>1</v>
      </c>
      <c r="E76" s="35">
        <v>0</v>
      </c>
      <c r="F76" s="35">
        <v>0</v>
      </c>
      <c r="G76" s="35">
        <v>0</v>
      </c>
      <c r="H76" s="35" t="s">
        <v>131</v>
      </c>
      <c r="I76" s="35">
        <v>30</v>
      </c>
      <c r="J76" s="35">
        <v>30</v>
      </c>
      <c r="K76" s="302"/>
      <c r="L76" s="307"/>
      <c r="M76" s="307"/>
      <c r="N76" s="91"/>
      <c r="O76" s="307"/>
    </row>
    <row r="77" spans="2:15" s="44" customFormat="1" x14ac:dyDescent="0.25">
      <c r="B77" s="302"/>
      <c r="C77" s="43" t="s">
        <v>984</v>
      </c>
      <c r="D77" s="43" t="s">
        <v>984</v>
      </c>
      <c r="E77" s="43" t="s">
        <v>984</v>
      </c>
      <c r="F77" s="43" t="s">
        <v>984</v>
      </c>
      <c r="G77" s="43" t="s">
        <v>984</v>
      </c>
      <c r="H77" s="43" t="s">
        <v>984</v>
      </c>
      <c r="I77" s="43" t="s">
        <v>984</v>
      </c>
      <c r="J77" s="43" t="s">
        <v>984</v>
      </c>
      <c r="K77" s="302"/>
      <c r="L77" s="307"/>
      <c r="M77" s="307"/>
      <c r="N77" s="91"/>
      <c r="O77" s="307"/>
    </row>
    <row r="78" spans="2:15" s="44" customFormat="1" x14ac:dyDescent="0.25">
      <c r="B78" s="302"/>
      <c r="C78" s="35">
        <v>6</v>
      </c>
      <c r="D78" s="35">
        <v>1</v>
      </c>
      <c r="E78" s="35">
        <v>0</v>
      </c>
      <c r="F78" s="35">
        <v>0</v>
      </c>
      <c r="G78" s="35">
        <v>0</v>
      </c>
      <c r="H78" s="35" t="s">
        <v>131</v>
      </c>
      <c r="I78" s="35">
        <v>150</v>
      </c>
      <c r="J78" s="35">
        <v>12</v>
      </c>
      <c r="K78" s="302"/>
      <c r="L78" s="307"/>
      <c r="M78" s="307"/>
      <c r="N78" s="91"/>
      <c r="O78" s="307"/>
    </row>
    <row r="79" spans="2:15" s="44" customFormat="1" x14ac:dyDescent="0.25">
      <c r="B79" s="302"/>
      <c r="C79" s="43" t="s">
        <v>984</v>
      </c>
      <c r="D79" s="43" t="s">
        <v>984</v>
      </c>
      <c r="E79" s="43" t="s">
        <v>984</v>
      </c>
      <c r="F79" s="43" t="s">
        <v>984</v>
      </c>
      <c r="G79" s="43" t="s">
        <v>984</v>
      </c>
      <c r="H79" s="43" t="s">
        <v>984</v>
      </c>
      <c r="I79" s="43" t="s">
        <v>984</v>
      </c>
      <c r="J79" s="43" t="s">
        <v>984</v>
      </c>
      <c r="K79" s="302"/>
      <c r="L79" s="307"/>
      <c r="M79" s="307"/>
      <c r="N79" s="91"/>
      <c r="O79" s="307"/>
    </row>
    <row r="80" spans="2:15" s="44" customFormat="1" x14ac:dyDescent="0.25">
      <c r="B80" s="302"/>
      <c r="C80" s="35">
        <v>78</v>
      </c>
      <c r="D80" s="35">
        <v>1</v>
      </c>
      <c r="E80" s="35">
        <v>0</v>
      </c>
      <c r="F80" s="35">
        <v>13</v>
      </c>
      <c r="G80" s="35">
        <v>0</v>
      </c>
      <c r="H80" s="35" t="s">
        <v>131</v>
      </c>
      <c r="I80" s="35">
        <v>0</v>
      </c>
      <c r="J80" s="35">
        <v>30</v>
      </c>
      <c r="K80" s="302"/>
      <c r="L80" s="307"/>
      <c r="M80" s="307"/>
      <c r="N80" s="91"/>
      <c r="O80" s="307"/>
    </row>
    <row r="81" spans="2:15" s="44" customFormat="1" x14ac:dyDescent="0.25">
      <c r="B81" s="302"/>
      <c r="C81" s="35">
        <v>79</v>
      </c>
      <c r="D81" s="35">
        <v>1</v>
      </c>
      <c r="E81" s="35">
        <v>0</v>
      </c>
      <c r="F81" s="35">
        <v>13</v>
      </c>
      <c r="G81" s="35">
        <v>0</v>
      </c>
      <c r="H81" s="35" t="s">
        <v>131</v>
      </c>
      <c r="I81" s="35">
        <v>30</v>
      </c>
      <c r="J81" s="35">
        <v>30</v>
      </c>
      <c r="K81" s="302"/>
      <c r="L81" s="307"/>
      <c r="M81" s="307"/>
      <c r="N81" s="91"/>
      <c r="O81" s="307"/>
    </row>
    <row r="82" spans="2:15" s="44" customFormat="1" x14ac:dyDescent="0.25">
      <c r="B82" s="302"/>
      <c r="C82" s="43" t="s">
        <v>984</v>
      </c>
      <c r="D82" s="43" t="s">
        <v>984</v>
      </c>
      <c r="E82" s="43" t="s">
        <v>984</v>
      </c>
      <c r="F82" s="43" t="s">
        <v>984</v>
      </c>
      <c r="G82" s="43" t="s">
        <v>984</v>
      </c>
      <c r="H82" s="43" t="s">
        <v>984</v>
      </c>
      <c r="I82" s="43" t="s">
        <v>984</v>
      </c>
      <c r="J82" s="43" t="s">
        <v>984</v>
      </c>
      <c r="K82" s="302"/>
      <c r="L82" s="307"/>
      <c r="M82" s="307"/>
      <c r="N82" s="91"/>
      <c r="O82" s="307"/>
    </row>
    <row r="83" spans="2:15" s="44" customFormat="1" x14ac:dyDescent="0.25">
      <c r="B83" s="303"/>
      <c r="C83" s="35">
        <v>84</v>
      </c>
      <c r="D83" s="35">
        <v>1</v>
      </c>
      <c r="E83" s="35">
        <v>0</v>
      </c>
      <c r="F83" s="35">
        <v>13</v>
      </c>
      <c r="G83" s="35">
        <v>0</v>
      </c>
      <c r="H83" s="35" t="s">
        <v>131</v>
      </c>
      <c r="I83" s="35">
        <v>150</v>
      </c>
      <c r="J83" s="35">
        <v>12</v>
      </c>
      <c r="K83" s="303"/>
      <c r="L83" s="308"/>
      <c r="M83" s="308"/>
      <c r="N83" s="92"/>
      <c r="O83" s="308"/>
    </row>
    <row r="84" spans="2:15" s="44" customFormat="1" x14ac:dyDescent="0.25">
      <c r="B84" s="304">
        <v>18</v>
      </c>
      <c r="C84" s="34">
        <v>1</v>
      </c>
      <c r="D84" s="34">
        <v>1</v>
      </c>
      <c r="E84" s="34">
        <v>0</v>
      </c>
      <c r="F84" s="34">
        <v>0</v>
      </c>
      <c r="G84" s="34">
        <v>0</v>
      </c>
      <c r="H84" s="34">
        <v>1</v>
      </c>
      <c r="I84" s="34">
        <v>0</v>
      </c>
      <c r="J84" s="34">
        <v>162</v>
      </c>
      <c r="K84" s="304" t="s">
        <v>1044</v>
      </c>
      <c r="L84" s="301" t="s">
        <v>982</v>
      </c>
      <c r="M84" s="301" t="s">
        <v>1045</v>
      </c>
      <c r="N84" s="90"/>
      <c r="O84" s="301"/>
    </row>
    <row r="85" spans="2:15" s="44" customFormat="1" x14ac:dyDescent="0.25">
      <c r="B85" s="302"/>
      <c r="C85" s="34">
        <v>2</v>
      </c>
      <c r="D85" s="34">
        <v>1</v>
      </c>
      <c r="E85" s="34">
        <v>0</v>
      </c>
      <c r="F85" s="34">
        <v>1</v>
      </c>
      <c r="G85" s="34">
        <v>0</v>
      </c>
      <c r="H85" s="34">
        <v>1</v>
      </c>
      <c r="I85" s="34">
        <v>0</v>
      </c>
      <c r="J85" s="34">
        <v>162</v>
      </c>
      <c r="K85" s="302"/>
      <c r="L85" s="307"/>
      <c r="M85" s="307"/>
      <c r="N85" s="91"/>
      <c r="O85" s="307"/>
    </row>
    <row r="86" spans="2:15" s="44" customFormat="1" x14ac:dyDescent="0.25">
      <c r="B86" s="302"/>
      <c r="C86" s="34" t="s">
        <v>984</v>
      </c>
      <c r="D86" s="34" t="s">
        <v>984</v>
      </c>
      <c r="E86" s="34" t="s">
        <v>984</v>
      </c>
      <c r="F86" s="34" t="s">
        <v>984</v>
      </c>
      <c r="G86" s="34" t="s">
        <v>984</v>
      </c>
      <c r="H86" s="34" t="s">
        <v>984</v>
      </c>
      <c r="I86" s="34" t="s">
        <v>984</v>
      </c>
      <c r="J86" s="34" t="s">
        <v>984</v>
      </c>
      <c r="K86" s="302"/>
      <c r="L86" s="307"/>
      <c r="M86" s="307"/>
      <c r="N86" s="91"/>
      <c r="O86" s="307"/>
    </row>
    <row r="87" spans="2:15" s="44" customFormat="1" ht="14.45" customHeight="1" x14ac:dyDescent="0.25">
      <c r="B87" s="302"/>
      <c r="C87" s="34">
        <v>14</v>
      </c>
      <c r="D87" s="34">
        <v>1</v>
      </c>
      <c r="E87" s="34">
        <v>0</v>
      </c>
      <c r="F87" s="34">
        <v>13</v>
      </c>
      <c r="G87" s="34">
        <v>0</v>
      </c>
      <c r="H87" s="34">
        <v>1</v>
      </c>
      <c r="I87" s="34">
        <v>0</v>
      </c>
      <c r="J87" s="34">
        <v>162</v>
      </c>
      <c r="K87" s="302"/>
      <c r="L87" s="307"/>
      <c r="M87" s="307"/>
      <c r="N87" s="91"/>
      <c r="O87" s="307"/>
    </row>
    <row r="88" spans="2:15" s="44" customFormat="1" x14ac:dyDescent="0.25">
      <c r="B88" s="302"/>
      <c r="C88" s="35">
        <v>1</v>
      </c>
      <c r="D88" s="35">
        <v>1</v>
      </c>
      <c r="E88" s="35">
        <v>0</v>
      </c>
      <c r="F88" s="35">
        <v>0</v>
      </c>
      <c r="G88" s="35">
        <v>0</v>
      </c>
      <c r="H88" s="35" t="s">
        <v>131</v>
      </c>
      <c r="I88" s="35">
        <v>0</v>
      </c>
      <c r="J88" s="35">
        <v>30</v>
      </c>
      <c r="K88" s="302"/>
      <c r="L88" s="307"/>
      <c r="M88" s="307"/>
      <c r="N88" s="91"/>
      <c r="O88" s="307"/>
    </row>
    <row r="89" spans="2:15" s="44" customFormat="1" x14ac:dyDescent="0.25">
      <c r="B89" s="302"/>
      <c r="C89" s="35">
        <v>2</v>
      </c>
      <c r="D89" s="35">
        <v>1</v>
      </c>
      <c r="E89" s="35">
        <v>0</v>
      </c>
      <c r="F89" s="35">
        <v>0</v>
      </c>
      <c r="G89" s="35">
        <v>0</v>
      </c>
      <c r="H89" s="35" t="s">
        <v>131</v>
      </c>
      <c r="I89" s="35">
        <v>30</v>
      </c>
      <c r="J89" s="35">
        <v>30</v>
      </c>
      <c r="K89" s="302"/>
      <c r="L89" s="307"/>
      <c r="M89" s="307"/>
      <c r="N89" s="91"/>
      <c r="O89" s="307"/>
    </row>
    <row r="90" spans="2:15" s="44" customFormat="1" x14ac:dyDescent="0.25">
      <c r="B90" s="302"/>
      <c r="C90" s="43" t="s">
        <v>984</v>
      </c>
      <c r="D90" s="43" t="s">
        <v>984</v>
      </c>
      <c r="E90" s="43" t="s">
        <v>984</v>
      </c>
      <c r="F90" s="43" t="s">
        <v>984</v>
      </c>
      <c r="G90" s="43" t="s">
        <v>984</v>
      </c>
      <c r="H90" s="43" t="s">
        <v>984</v>
      </c>
      <c r="I90" s="43" t="s">
        <v>984</v>
      </c>
      <c r="J90" s="43" t="s">
        <v>984</v>
      </c>
      <c r="K90" s="302"/>
      <c r="L90" s="307"/>
      <c r="M90" s="307"/>
      <c r="N90" s="91"/>
      <c r="O90" s="307"/>
    </row>
    <row r="91" spans="2:15" s="44" customFormat="1" x14ac:dyDescent="0.25">
      <c r="B91" s="302"/>
      <c r="C91" s="35">
        <v>6</v>
      </c>
      <c r="D91" s="35">
        <v>1</v>
      </c>
      <c r="E91" s="35">
        <v>0</v>
      </c>
      <c r="F91" s="35">
        <v>0</v>
      </c>
      <c r="G91" s="35">
        <v>0</v>
      </c>
      <c r="H91" s="35" t="s">
        <v>131</v>
      </c>
      <c r="I91" s="35">
        <v>150</v>
      </c>
      <c r="J91" s="35">
        <v>12</v>
      </c>
      <c r="K91" s="302"/>
      <c r="L91" s="307"/>
      <c r="M91" s="307"/>
      <c r="N91" s="91"/>
      <c r="O91" s="307"/>
    </row>
    <row r="92" spans="2:15" s="44" customFormat="1" x14ac:dyDescent="0.25">
      <c r="B92" s="302"/>
      <c r="C92" s="43" t="s">
        <v>984</v>
      </c>
      <c r="D92" s="43" t="s">
        <v>984</v>
      </c>
      <c r="E92" s="43" t="s">
        <v>984</v>
      </c>
      <c r="F92" s="43" t="s">
        <v>984</v>
      </c>
      <c r="G92" s="43" t="s">
        <v>984</v>
      </c>
      <c r="H92" s="43" t="s">
        <v>984</v>
      </c>
      <c r="I92" s="43" t="s">
        <v>984</v>
      </c>
      <c r="J92" s="43" t="s">
        <v>984</v>
      </c>
      <c r="K92" s="302"/>
      <c r="L92" s="307"/>
      <c r="M92" s="307"/>
      <c r="N92" s="91"/>
      <c r="O92" s="307"/>
    </row>
    <row r="93" spans="2:15" s="44" customFormat="1" x14ac:dyDescent="0.25">
      <c r="B93" s="302"/>
      <c r="C93" s="35">
        <v>78</v>
      </c>
      <c r="D93" s="35">
        <v>1</v>
      </c>
      <c r="E93" s="35">
        <v>0</v>
      </c>
      <c r="F93" s="35">
        <v>13</v>
      </c>
      <c r="G93" s="35">
        <v>0</v>
      </c>
      <c r="H93" s="35" t="s">
        <v>131</v>
      </c>
      <c r="I93" s="35">
        <v>0</v>
      </c>
      <c r="J93" s="35">
        <v>30</v>
      </c>
      <c r="K93" s="302"/>
      <c r="L93" s="307"/>
      <c r="M93" s="307"/>
      <c r="N93" s="91"/>
      <c r="O93" s="307"/>
    </row>
    <row r="94" spans="2:15" s="44" customFormat="1" x14ac:dyDescent="0.25">
      <c r="B94" s="302"/>
      <c r="C94" s="35">
        <v>79</v>
      </c>
      <c r="D94" s="35">
        <v>1</v>
      </c>
      <c r="E94" s="35">
        <v>0</v>
      </c>
      <c r="F94" s="35">
        <v>13</v>
      </c>
      <c r="G94" s="35">
        <v>0</v>
      </c>
      <c r="H94" s="35" t="s">
        <v>131</v>
      </c>
      <c r="I94" s="35">
        <v>30</v>
      </c>
      <c r="J94" s="35">
        <v>30</v>
      </c>
      <c r="K94" s="302"/>
      <c r="L94" s="307"/>
      <c r="M94" s="307"/>
      <c r="N94" s="91"/>
      <c r="O94" s="307"/>
    </row>
    <row r="95" spans="2:15" s="44" customFormat="1" x14ac:dyDescent="0.25">
      <c r="B95" s="302"/>
      <c r="C95" s="43" t="s">
        <v>984</v>
      </c>
      <c r="D95" s="43" t="s">
        <v>984</v>
      </c>
      <c r="E95" s="43" t="s">
        <v>984</v>
      </c>
      <c r="F95" s="43" t="s">
        <v>984</v>
      </c>
      <c r="G95" s="43" t="s">
        <v>984</v>
      </c>
      <c r="H95" s="43" t="s">
        <v>984</v>
      </c>
      <c r="I95" s="43" t="s">
        <v>984</v>
      </c>
      <c r="J95" s="43" t="s">
        <v>984</v>
      </c>
      <c r="K95" s="302"/>
      <c r="L95" s="307"/>
      <c r="M95" s="307"/>
      <c r="N95" s="91"/>
      <c r="O95" s="307"/>
    </row>
    <row r="96" spans="2:15" s="44" customFormat="1" x14ac:dyDescent="0.25">
      <c r="B96" s="303"/>
      <c r="C96" s="35">
        <v>84</v>
      </c>
      <c r="D96" s="35">
        <v>1</v>
      </c>
      <c r="E96" s="35">
        <v>0</v>
      </c>
      <c r="F96" s="35">
        <v>13</v>
      </c>
      <c r="G96" s="35">
        <v>0</v>
      </c>
      <c r="H96" s="35" t="s">
        <v>131</v>
      </c>
      <c r="I96" s="35">
        <v>150</v>
      </c>
      <c r="J96" s="35">
        <v>12</v>
      </c>
      <c r="K96" s="303"/>
      <c r="L96" s="308"/>
      <c r="M96" s="308"/>
      <c r="N96" s="92"/>
      <c r="O96" s="308"/>
    </row>
    <row r="97" spans="2:15" s="44" customFormat="1" x14ac:dyDescent="0.25">
      <c r="B97" s="304">
        <v>19</v>
      </c>
      <c r="C97" s="310">
        <v>1</v>
      </c>
      <c r="D97" s="310">
        <v>11</v>
      </c>
      <c r="E97" s="34">
        <v>0</v>
      </c>
      <c r="F97" s="34">
        <v>0</v>
      </c>
      <c r="G97" s="34">
        <v>0</v>
      </c>
      <c r="H97" s="34">
        <v>14</v>
      </c>
      <c r="I97" s="34">
        <v>0</v>
      </c>
      <c r="J97" s="34">
        <v>15</v>
      </c>
      <c r="K97" s="301" t="s">
        <v>1046</v>
      </c>
      <c r="L97" s="301" t="s">
        <v>986</v>
      </c>
      <c r="M97" s="301" t="s">
        <v>1047</v>
      </c>
      <c r="N97" s="90"/>
      <c r="O97" s="301"/>
    </row>
    <row r="98" spans="2:15" s="44" customFormat="1" x14ac:dyDescent="0.25">
      <c r="B98" s="302"/>
      <c r="C98" s="311"/>
      <c r="D98" s="311"/>
      <c r="E98" s="34">
        <v>1</v>
      </c>
      <c r="F98" s="34">
        <v>0</v>
      </c>
      <c r="G98" s="34">
        <v>0</v>
      </c>
      <c r="H98" s="34">
        <v>14</v>
      </c>
      <c r="I98" s="34">
        <v>15</v>
      </c>
      <c r="J98" s="34">
        <v>15</v>
      </c>
      <c r="K98" s="307"/>
      <c r="L98" s="307"/>
      <c r="M98" s="307"/>
      <c r="N98" s="91"/>
      <c r="O98" s="307"/>
    </row>
    <row r="99" spans="2:15" s="44" customFormat="1" x14ac:dyDescent="0.25">
      <c r="B99" s="302"/>
      <c r="C99" s="311"/>
      <c r="D99" s="311"/>
      <c r="E99" s="34" t="s">
        <v>984</v>
      </c>
      <c r="F99" s="34" t="s">
        <v>984</v>
      </c>
      <c r="G99" s="34" t="s">
        <v>984</v>
      </c>
      <c r="H99" s="34" t="s">
        <v>984</v>
      </c>
      <c r="I99" s="34" t="s">
        <v>984</v>
      </c>
      <c r="J99" s="34" t="s">
        <v>984</v>
      </c>
      <c r="K99" s="307"/>
      <c r="L99" s="307"/>
      <c r="M99" s="307"/>
      <c r="N99" s="91"/>
      <c r="O99" s="307"/>
    </row>
    <row r="100" spans="2:15" s="44" customFormat="1" x14ac:dyDescent="0.25">
      <c r="B100" s="302"/>
      <c r="C100" s="312"/>
      <c r="D100" s="312"/>
      <c r="E100" s="34">
        <v>10</v>
      </c>
      <c r="F100" s="34">
        <v>0</v>
      </c>
      <c r="G100" s="34">
        <v>0</v>
      </c>
      <c r="H100" s="34">
        <v>14</v>
      </c>
      <c r="I100" s="34">
        <v>150</v>
      </c>
      <c r="J100" s="34">
        <v>12</v>
      </c>
      <c r="K100" s="307"/>
      <c r="L100" s="307"/>
      <c r="M100" s="307"/>
      <c r="N100" s="91"/>
      <c r="O100" s="307"/>
    </row>
    <row r="101" spans="2:15" s="44" customFormat="1" x14ac:dyDescent="0.25">
      <c r="B101" s="302"/>
      <c r="C101" s="315">
        <v>1</v>
      </c>
      <c r="D101" s="315">
        <v>2</v>
      </c>
      <c r="E101" s="35">
        <v>0</v>
      </c>
      <c r="F101" s="35">
        <v>0</v>
      </c>
      <c r="G101" s="35">
        <v>0</v>
      </c>
      <c r="H101" s="35" t="s">
        <v>131</v>
      </c>
      <c r="I101" s="35">
        <v>0</v>
      </c>
      <c r="J101" s="35">
        <v>15</v>
      </c>
      <c r="K101" s="307"/>
      <c r="L101" s="307"/>
      <c r="M101" s="307"/>
      <c r="N101" s="91"/>
      <c r="O101" s="307"/>
    </row>
    <row r="102" spans="2:15" s="44" customFormat="1" x14ac:dyDescent="0.25">
      <c r="B102" s="302"/>
      <c r="C102" s="316"/>
      <c r="D102" s="316"/>
      <c r="E102" s="35">
        <v>1</v>
      </c>
      <c r="F102" s="35">
        <v>0</v>
      </c>
      <c r="G102" s="35">
        <v>0</v>
      </c>
      <c r="H102" s="35" t="s">
        <v>131</v>
      </c>
      <c r="I102" s="35">
        <v>15</v>
      </c>
      <c r="J102" s="35">
        <v>15</v>
      </c>
      <c r="K102" s="307"/>
      <c r="L102" s="307"/>
      <c r="M102" s="307"/>
      <c r="N102" s="91"/>
      <c r="O102" s="307"/>
    </row>
    <row r="103" spans="2:15" s="44" customFormat="1" x14ac:dyDescent="0.25">
      <c r="B103" s="302"/>
      <c r="C103" s="43" t="s">
        <v>984</v>
      </c>
      <c r="D103" s="43" t="s">
        <v>984</v>
      </c>
      <c r="E103" s="43" t="s">
        <v>984</v>
      </c>
      <c r="F103" s="43" t="s">
        <v>984</v>
      </c>
      <c r="G103" s="43" t="s">
        <v>984</v>
      </c>
      <c r="H103" s="43" t="s">
        <v>984</v>
      </c>
      <c r="I103" s="43" t="s">
        <v>984</v>
      </c>
      <c r="J103" s="43" t="s">
        <v>984</v>
      </c>
      <c r="K103" s="307"/>
      <c r="L103" s="307"/>
      <c r="M103" s="307"/>
      <c r="N103" s="91"/>
      <c r="O103" s="307"/>
    </row>
    <row r="104" spans="2:15" s="44" customFormat="1" x14ac:dyDescent="0.25">
      <c r="B104" s="302"/>
      <c r="C104" s="315">
        <v>5</v>
      </c>
      <c r="D104" s="315">
        <v>2</v>
      </c>
      <c r="E104" s="35">
        <v>8</v>
      </c>
      <c r="F104" s="35">
        <v>0</v>
      </c>
      <c r="G104" s="35">
        <v>0</v>
      </c>
      <c r="H104" s="35" t="s">
        <v>131</v>
      </c>
      <c r="I104" s="35">
        <v>120</v>
      </c>
      <c r="J104" s="35">
        <v>15</v>
      </c>
      <c r="K104" s="307"/>
      <c r="L104" s="307"/>
      <c r="M104" s="307"/>
      <c r="N104" s="91"/>
      <c r="O104" s="307"/>
    </row>
    <row r="105" spans="2:15" s="44" customFormat="1" x14ac:dyDescent="0.25">
      <c r="B105" s="302"/>
      <c r="C105" s="316"/>
      <c r="D105" s="316"/>
      <c r="E105" s="35">
        <v>9</v>
      </c>
      <c r="F105" s="35">
        <v>0</v>
      </c>
      <c r="G105" s="35">
        <v>0</v>
      </c>
      <c r="H105" s="35" t="s">
        <v>131</v>
      </c>
      <c r="I105" s="35">
        <v>135</v>
      </c>
      <c r="J105" s="35">
        <v>15</v>
      </c>
      <c r="K105" s="307"/>
      <c r="L105" s="307"/>
      <c r="M105" s="307"/>
      <c r="N105" s="91"/>
      <c r="O105" s="307"/>
    </row>
    <row r="106" spans="2:15" s="44" customFormat="1" x14ac:dyDescent="0.25">
      <c r="B106" s="303"/>
      <c r="C106" s="42">
        <v>6</v>
      </c>
      <c r="D106" s="42">
        <v>1</v>
      </c>
      <c r="E106" s="35">
        <v>10</v>
      </c>
      <c r="F106" s="35">
        <v>0</v>
      </c>
      <c r="G106" s="35">
        <v>0</v>
      </c>
      <c r="H106" s="35" t="s">
        <v>131</v>
      </c>
      <c r="I106" s="35">
        <v>150</v>
      </c>
      <c r="J106" s="35">
        <v>12</v>
      </c>
      <c r="K106" s="308"/>
      <c r="L106" s="308"/>
      <c r="M106" s="308"/>
      <c r="N106" s="92"/>
      <c r="O106" s="308"/>
    </row>
    <row r="107" spans="2:15" s="44" customFormat="1" x14ac:dyDescent="0.25">
      <c r="B107" s="304">
        <v>20</v>
      </c>
      <c r="C107" s="310">
        <v>1</v>
      </c>
      <c r="D107" s="310">
        <v>11</v>
      </c>
      <c r="E107" s="34">
        <v>0</v>
      </c>
      <c r="F107" s="34">
        <v>0</v>
      </c>
      <c r="G107" s="34">
        <v>0</v>
      </c>
      <c r="H107" s="34">
        <v>1</v>
      </c>
      <c r="I107" s="34">
        <v>0</v>
      </c>
      <c r="J107" s="34">
        <v>15</v>
      </c>
      <c r="K107" s="301" t="s">
        <v>1048</v>
      </c>
      <c r="L107" s="301" t="s">
        <v>988</v>
      </c>
      <c r="M107" s="301" t="s">
        <v>1049</v>
      </c>
      <c r="N107" s="90"/>
      <c r="O107" s="301"/>
    </row>
    <row r="108" spans="2:15" s="44" customFormat="1" x14ac:dyDescent="0.25">
      <c r="B108" s="302"/>
      <c r="C108" s="311"/>
      <c r="D108" s="311"/>
      <c r="E108" s="34">
        <v>1</v>
      </c>
      <c r="F108" s="34">
        <v>0</v>
      </c>
      <c r="G108" s="34">
        <v>0</v>
      </c>
      <c r="H108" s="34">
        <v>1</v>
      </c>
      <c r="I108" s="34">
        <v>15</v>
      </c>
      <c r="J108" s="34">
        <v>15</v>
      </c>
      <c r="K108" s="307"/>
      <c r="L108" s="307"/>
      <c r="M108" s="307"/>
      <c r="N108" s="91"/>
      <c r="O108" s="307"/>
    </row>
    <row r="109" spans="2:15" s="44" customFormat="1" x14ac:dyDescent="0.25">
      <c r="B109" s="302"/>
      <c r="C109" s="311"/>
      <c r="D109" s="311"/>
      <c r="E109" s="34" t="s">
        <v>984</v>
      </c>
      <c r="F109" s="34" t="s">
        <v>984</v>
      </c>
      <c r="G109" s="34" t="s">
        <v>984</v>
      </c>
      <c r="H109" s="34" t="s">
        <v>984</v>
      </c>
      <c r="I109" s="34" t="s">
        <v>984</v>
      </c>
      <c r="J109" s="34" t="s">
        <v>984</v>
      </c>
      <c r="K109" s="307"/>
      <c r="L109" s="307"/>
      <c r="M109" s="307"/>
      <c r="N109" s="91"/>
      <c r="O109" s="307"/>
    </row>
    <row r="110" spans="2:15" s="44" customFormat="1" x14ac:dyDescent="0.25">
      <c r="B110" s="302"/>
      <c r="C110" s="312"/>
      <c r="D110" s="312"/>
      <c r="E110" s="34">
        <v>10</v>
      </c>
      <c r="F110" s="34">
        <v>0</v>
      </c>
      <c r="G110" s="34">
        <v>0</v>
      </c>
      <c r="H110" s="34">
        <v>1</v>
      </c>
      <c r="I110" s="34">
        <v>150</v>
      </c>
      <c r="J110" s="34">
        <v>12</v>
      </c>
      <c r="K110" s="307"/>
      <c r="L110" s="307"/>
      <c r="M110" s="307"/>
      <c r="N110" s="91"/>
      <c r="O110" s="307"/>
    </row>
    <row r="111" spans="2:15" s="44" customFormat="1" x14ac:dyDescent="0.25">
      <c r="B111" s="302"/>
      <c r="C111" s="315">
        <v>1</v>
      </c>
      <c r="D111" s="315">
        <v>2</v>
      </c>
      <c r="E111" s="35">
        <v>0</v>
      </c>
      <c r="F111" s="35">
        <v>0</v>
      </c>
      <c r="G111" s="35">
        <v>0</v>
      </c>
      <c r="H111" s="35" t="s">
        <v>131</v>
      </c>
      <c r="I111" s="35">
        <v>0</v>
      </c>
      <c r="J111" s="35">
        <v>15</v>
      </c>
      <c r="K111" s="307"/>
      <c r="L111" s="307"/>
      <c r="M111" s="307"/>
      <c r="N111" s="91"/>
      <c r="O111" s="307"/>
    </row>
    <row r="112" spans="2:15" s="44" customFormat="1" x14ac:dyDescent="0.25">
      <c r="B112" s="302"/>
      <c r="C112" s="316"/>
      <c r="D112" s="316"/>
      <c r="E112" s="35">
        <v>1</v>
      </c>
      <c r="F112" s="35">
        <v>0</v>
      </c>
      <c r="G112" s="35">
        <v>0</v>
      </c>
      <c r="H112" s="35" t="s">
        <v>131</v>
      </c>
      <c r="I112" s="35">
        <v>15</v>
      </c>
      <c r="J112" s="35">
        <v>15</v>
      </c>
      <c r="K112" s="307"/>
      <c r="L112" s="307"/>
      <c r="M112" s="307"/>
      <c r="N112" s="91"/>
      <c r="O112" s="307"/>
    </row>
    <row r="113" spans="2:15" s="44" customFormat="1" x14ac:dyDescent="0.25">
      <c r="B113" s="302"/>
      <c r="C113" s="43" t="s">
        <v>984</v>
      </c>
      <c r="D113" s="43" t="s">
        <v>984</v>
      </c>
      <c r="E113" s="43" t="s">
        <v>984</v>
      </c>
      <c r="F113" s="43" t="s">
        <v>984</v>
      </c>
      <c r="G113" s="43" t="s">
        <v>984</v>
      </c>
      <c r="H113" s="43" t="s">
        <v>984</v>
      </c>
      <c r="I113" s="43" t="s">
        <v>984</v>
      </c>
      <c r="J113" s="43" t="s">
        <v>984</v>
      </c>
      <c r="K113" s="307"/>
      <c r="L113" s="307"/>
      <c r="M113" s="307"/>
      <c r="N113" s="91"/>
      <c r="O113" s="307"/>
    </row>
    <row r="114" spans="2:15" s="44" customFormat="1" x14ac:dyDescent="0.25">
      <c r="B114" s="302"/>
      <c r="C114" s="315">
        <v>5</v>
      </c>
      <c r="D114" s="315">
        <v>2</v>
      </c>
      <c r="E114" s="35">
        <v>8</v>
      </c>
      <c r="F114" s="35">
        <v>0</v>
      </c>
      <c r="G114" s="35">
        <v>0</v>
      </c>
      <c r="H114" s="35" t="s">
        <v>131</v>
      </c>
      <c r="I114" s="35">
        <v>120</v>
      </c>
      <c r="J114" s="35">
        <v>15</v>
      </c>
      <c r="K114" s="307"/>
      <c r="L114" s="307"/>
      <c r="M114" s="307"/>
      <c r="N114" s="91"/>
      <c r="O114" s="307"/>
    </row>
    <row r="115" spans="2:15" s="44" customFormat="1" x14ac:dyDescent="0.25">
      <c r="B115" s="302"/>
      <c r="C115" s="316"/>
      <c r="D115" s="316"/>
      <c r="E115" s="35">
        <v>9</v>
      </c>
      <c r="F115" s="35">
        <v>0</v>
      </c>
      <c r="G115" s="35">
        <v>0</v>
      </c>
      <c r="H115" s="35" t="s">
        <v>131</v>
      </c>
      <c r="I115" s="35">
        <v>135</v>
      </c>
      <c r="J115" s="35">
        <v>15</v>
      </c>
      <c r="K115" s="307"/>
      <c r="L115" s="307"/>
      <c r="M115" s="307"/>
      <c r="N115" s="91"/>
      <c r="O115" s="307"/>
    </row>
    <row r="116" spans="2:15" s="44" customFormat="1" x14ac:dyDescent="0.25">
      <c r="B116" s="303"/>
      <c r="C116" s="42">
        <v>6</v>
      </c>
      <c r="D116" s="42">
        <v>1</v>
      </c>
      <c r="E116" s="35">
        <v>10</v>
      </c>
      <c r="F116" s="35">
        <v>0</v>
      </c>
      <c r="G116" s="35">
        <v>0</v>
      </c>
      <c r="H116" s="35" t="s">
        <v>131</v>
      </c>
      <c r="I116" s="35">
        <v>150</v>
      </c>
      <c r="J116" s="35">
        <v>12</v>
      </c>
      <c r="K116" s="308"/>
      <c r="L116" s="308"/>
      <c r="M116" s="308"/>
      <c r="N116" s="92"/>
      <c r="O116" s="308"/>
    </row>
    <row r="117" spans="2:15" s="44" customFormat="1" x14ac:dyDescent="0.25">
      <c r="B117" s="304">
        <v>21</v>
      </c>
      <c r="C117" s="310">
        <v>1</v>
      </c>
      <c r="D117" s="310">
        <v>7</v>
      </c>
      <c r="E117" s="34">
        <v>0</v>
      </c>
      <c r="F117" s="34">
        <v>0</v>
      </c>
      <c r="G117" s="34">
        <v>1</v>
      </c>
      <c r="H117" s="34">
        <v>2</v>
      </c>
      <c r="I117" s="34">
        <v>0</v>
      </c>
      <c r="J117" s="34">
        <v>162</v>
      </c>
      <c r="K117" s="304" t="s">
        <v>1050</v>
      </c>
      <c r="L117" s="301" t="s">
        <v>991</v>
      </c>
      <c r="M117" s="301" t="s">
        <v>1051</v>
      </c>
      <c r="N117" s="90"/>
      <c r="O117" s="301"/>
    </row>
    <row r="118" spans="2:15" s="44" customFormat="1" x14ac:dyDescent="0.25">
      <c r="B118" s="302"/>
      <c r="C118" s="311"/>
      <c r="D118" s="311"/>
      <c r="E118" s="34">
        <v>1</v>
      </c>
      <c r="F118" s="34">
        <v>2</v>
      </c>
      <c r="G118" s="34">
        <v>1</v>
      </c>
      <c r="H118" s="34">
        <v>2</v>
      </c>
      <c r="I118" s="34">
        <v>0</v>
      </c>
      <c r="J118" s="34">
        <v>162</v>
      </c>
      <c r="K118" s="302"/>
      <c r="L118" s="307"/>
      <c r="M118" s="307"/>
      <c r="N118" s="91"/>
      <c r="O118" s="307"/>
    </row>
    <row r="119" spans="2:15" s="44" customFormat="1" x14ac:dyDescent="0.25">
      <c r="B119" s="302"/>
      <c r="C119" s="311"/>
      <c r="D119" s="311"/>
      <c r="E119" s="34" t="s">
        <v>984</v>
      </c>
      <c r="F119" s="34" t="s">
        <v>984</v>
      </c>
      <c r="G119" s="34" t="s">
        <v>984</v>
      </c>
      <c r="H119" s="34" t="s">
        <v>984</v>
      </c>
      <c r="I119" s="34" t="s">
        <v>984</v>
      </c>
      <c r="J119" s="34" t="s">
        <v>984</v>
      </c>
      <c r="K119" s="302"/>
      <c r="L119" s="307"/>
      <c r="M119" s="307"/>
      <c r="N119" s="91"/>
      <c r="O119" s="307"/>
    </row>
    <row r="120" spans="2:15" s="44" customFormat="1" x14ac:dyDescent="0.25">
      <c r="B120" s="302"/>
      <c r="C120" s="312"/>
      <c r="D120" s="312"/>
      <c r="E120" s="34">
        <v>6</v>
      </c>
      <c r="F120" s="34">
        <v>12</v>
      </c>
      <c r="G120" s="34">
        <v>1</v>
      </c>
      <c r="H120" s="34">
        <v>2</v>
      </c>
      <c r="I120" s="34">
        <v>0</v>
      </c>
      <c r="J120" s="34">
        <v>162</v>
      </c>
      <c r="K120" s="302"/>
      <c r="L120" s="307"/>
      <c r="M120" s="307"/>
      <c r="N120" s="91"/>
      <c r="O120" s="307"/>
    </row>
    <row r="121" spans="2:15" s="44" customFormat="1" x14ac:dyDescent="0.25">
      <c r="B121" s="302"/>
      <c r="C121" s="35">
        <v>1</v>
      </c>
      <c r="D121" s="35">
        <v>1</v>
      </c>
      <c r="E121" s="35">
        <v>0</v>
      </c>
      <c r="F121" s="35">
        <v>0</v>
      </c>
      <c r="G121" s="35">
        <v>0</v>
      </c>
      <c r="H121" s="35" t="s">
        <v>131</v>
      </c>
      <c r="I121" s="35">
        <v>0</v>
      </c>
      <c r="J121" s="35">
        <v>30</v>
      </c>
      <c r="K121" s="302"/>
      <c r="L121" s="307"/>
      <c r="M121" s="307"/>
      <c r="N121" s="91"/>
      <c r="O121" s="307"/>
    </row>
    <row r="122" spans="2:15" s="44" customFormat="1" x14ac:dyDescent="0.25">
      <c r="B122" s="302"/>
      <c r="C122" s="35">
        <v>2</v>
      </c>
      <c r="D122" s="35">
        <v>1</v>
      </c>
      <c r="E122" s="35">
        <v>0</v>
      </c>
      <c r="F122" s="35">
        <v>0</v>
      </c>
      <c r="G122" s="35">
        <v>0</v>
      </c>
      <c r="H122" s="35" t="s">
        <v>131</v>
      </c>
      <c r="I122" s="35">
        <v>30</v>
      </c>
      <c r="J122" s="35">
        <v>30</v>
      </c>
      <c r="K122" s="302"/>
      <c r="L122" s="307"/>
      <c r="M122" s="307"/>
      <c r="N122" s="91"/>
      <c r="O122" s="307"/>
    </row>
    <row r="123" spans="2:15" s="44" customFormat="1" x14ac:dyDescent="0.25">
      <c r="B123" s="302"/>
      <c r="C123" s="43" t="s">
        <v>984</v>
      </c>
      <c r="D123" s="43" t="s">
        <v>984</v>
      </c>
      <c r="E123" s="43" t="s">
        <v>984</v>
      </c>
      <c r="F123" s="43" t="s">
        <v>984</v>
      </c>
      <c r="G123" s="43" t="s">
        <v>984</v>
      </c>
      <c r="H123" s="43" t="s">
        <v>984</v>
      </c>
      <c r="I123" s="43" t="s">
        <v>984</v>
      </c>
      <c r="J123" s="43" t="s">
        <v>984</v>
      </c>
      <c r="K123" s="302"/>
      <c r="L123" s="307"/>
      <c r="M123" s="307"/>
      <c r="N123" s="91"/>
      <c r="O123" s="307"/>
    </row>
    <row r="124" spans="2:15" s="44" customFormat="1" x14ac:dyDescent="0.25">
      <c r="B124" s="302"/>
      <c r="C124" s="35">
        <v>6</v>
      </c>
      <c r="D124" s="35">
        <v>1</v>
      </c>
      <c r="E124" s="35">
        <v>0</v>
      </c>
      <c r="F124" s="35">
        <v>0</v>
      </c>
      <c r="G124" s="35">
        <v>0</v>
      </c>
      <c r="H124" s="35" t="s">
        <v>131</v>
      </c>
      <c r="I124" s="35">
        <v>150</v>
      </c>
      <c r="J124" s="35">
        <v>12</v>
      </c>
      <c r="K124" s="302"/>
      <c r="L124" s="307"/>
      <c r="M124" s="307"/>
      <c r="N124" s="91"/>
      <c r="O124" s="307"/>
    </row>
    <row r="125" spans="2:15" s="44" customFormat="1" x14ac:dyDescent="0.25">
      <c r="B125" s="302"/>
      <c r="C125" s="43" t="s">
        <v>984</v>
      </c>
      <c r="D125" s="43" t="s">
        <v>984</v>
      </c>
      <c r="E125" s="43" t="s">
        <v>984</v>
      </c>
      <c r="F125" s="43" t="s">
        <v>984</v>
      </c>
      <c r="G125" s="43" t="s">
        <v>984</v>
      </c>
      <c r="H125" s="43" t="s">
        <v>984</v>
      </c>
      <c r="I125" s="43" t="s">
        <v>984</v>
      </c>
      <c r="J125" s="43" t="s">
        <v>984</v>
      </c>
      <c r="K125" s="302"/>
      <c r="L125" s="307"/>
      <c r="M125" s="307"/>
      <c r="N125" s="91"/>
      <c r="O125" s="307"/>
    </row>
    <row r="126" spans="2:15" s="44" customFormat="1" x14ac:dyDescent="0.25">
      <c r="B126" s="302"/>
      <c r="C126" s="35">
        <v>78</v>
      </c>
      <c r="D126" s="35">
        <v>1</v>
      </c>
      <c r="E126" s="35">
        <v>0</v>
      </c>
      <c r="F126" s="35">
        <v>13</v>
      </c>
      <c r="G126" s="35">
        <v>0</v>
      </c>
      <c r="H126" s="35" t="s">
        <v>131</v>
      </c>
      <c r="I126" s="35">
        <v>0</v>
      </c>
      <c r="J126" s="35">
        <v>30</v>
      </c>
      <c r="K126" s="302"/>
      <c r="L126" s="307"/>
      <c r="M126" s="307"/>
      <c r="N126" s="91"/>
      <c r="O126" s="307"/>
    </row>
    <row r="127" spans="2:15" s="44" customFormat="1" x14ac:dyDescent="0.25">
      <c r="B127" s="302"/>
      <c r="C127" s="35">
        <v>79</v>
      </c>
      <c r="D127" s="35">
        <v>1</v>
      </c>
      <c r="E127" s="35">
        <v>0</v>
      </c>
      <c r="F127" s="35">
        <v>13</v>
      </c>
      <c r="G127" s="35">
        <v>0</v>
      </c>
      <c r="H127" s="35" t="s">
        <v>131</v>
      </c>
      <c r="I127" s="35">
        <v>30</v>
      </c>
      <c r="J127" s="35">
        <v>30</v>
      </c>
      <c r="K127" s="302"/>
      <c r="L127" s="307"/>
      <c r="M127" s="307"/>
      <c r="N127" s="91"/>
      <c r="O127" s="307"/>
    </row>
    <row r="128" spans="2:15" s="44" customFormat="1" x14ac:dyDescent="0.25">
      <c r="B128" s="302"/>
      <c r="C128" s="43" t="s">
        <v>984</v>
      </c>
      <c r="D128" s="43" t="s">
        <v>984</v>
      </c>
      <c r="E128" s="43" t="s">
        <v>984</v>
      </c>
      <c r="F128" s="43" t="s">
        <v>984</v>
      </c>
      <c r="G128" s="43" t="s">
        <v>984</v>
      </c>
      <c r="H128" s="43" t="s">
        <v>984</v>
      </c>
      <c r="I128" s="43" t="s">
        <v>984</v>
      </c>
      <c r="J128" s="43" t="s">
        <v>984</v>
      </c>
      <c r="K128" s="302"/>
      <c r="L128" s="307"/>
      <c r="M128" s="307"/>
      <c r="N128" s="91"/>
      <c r="O128" s="307"/>
    </row>
    <row r="129" spans="2:15" s="44" customFormat="1" x14ac:dyDescent="0.25">
      <c r="B129" s="303"/>
      <c r="C129" s="35">
        <v>84</v>
      </c>
      <c r="D129" s="35">
        <v>1</v>
      </c>
      <c r="E129" s="35">
        <v>0</v>
      </c>
      <c r="F129" s="35">
        <v>13</v>
      </c>
      <c r="G129" s="35">
        <v>0</v>
      </c>
      <c r="H129" s="35" t="s">
        <v>131</v>
      </c>
      <c r="I129" s="35">
        <v>150</v>
      </c>
      <c r="J129" s="35">
        <v>12</v>
      </c>
      <c r="K129" s="303"/>
      <c r="L129" s="308"/>
      <c r="M129" s="308"/>
      <c r="N129" s="92"/>
      <c r="O129" s="308"/>
    </row>
    <row r="130" spans="2:15" s="44" customFormat="1" ht="14.45" customHeight="1" x14ac:dyDescent="0.25">
      <c r="B130" s="304">
        <v>22</v>
      </c>
      <c r="C130" s="310">
        <v>1</v>
      </c>
      <c r="D130" s="310">
        <v>11</v>
      </c>
      <c r="E130" s="34">
        <v>0</v>
      </c>
      <c r="F130" s="34">
        <v>0</v>
      </c>
      <c r="G130" s="34">
        <v>0</v>
      </c>
      <c r="H130" s="34">
        <v>1</v>
      </c>
      <c r="I130" s="34">
        <v>15</v>
      </c>
      <c r="J130" s="34">
        <v>15</v>
      </c>
      <c r="K130" s="301" t="s">
        <v>1052</v>
      </c>
      <c r="L130" s="301" t="s">
        <v>994</v>
      </c>
      <c r="M130" s="301" t="s">
        <v>1053</v>
      </c>
      <c r="N130" s="90"/>
      <c r="O130" s="301"/>
    </row>
    <row r="131" spans="2:15" s="44" customFormat="1" x14ac:dyDescent="0.25">
      <c r="B131" s="302"/>
      <c r="C131" s="311"/>
      <c r="D131" s="311"/>
      <c r="E131" s="34">
        <v>1</v>
      </c>
      <c r="F131" s="34">
        <v>0</v>
      </c>
      <c r="G131" s="34">
        <v>0</v>
      </c>
      <c r="H131" s="34">
        <v>1</v>
      </c>
      <c r="I131" s="34">
        <v>0</v>
      </c>
      <c r="J131" s="34">
        <v>15</v>
      </c>
      <c r="K131" s="307"/>
      <c r="L131" s="307"/>
      <c r="M131" s="307"/>
      <c r="N131" s="91"/>
      <c r="O131" s="307"/>
    </row>
    <row r="132" spans="2:15" s="44" customFormat="1" x14ac:dyDescent="0.25">
      <c r="B132" s="302"/>
      <c r="C132" s="311"/>
      <c r="D132" s="311"/>
      <c r="E132" s="34" t="s">
        <v>984</v>
      </c>
      <c r="F132" s="34" t="s">
        <v>984</v>
      </c>
      <c r="G132" s="34" t="s">
        <v>984</v>
      </c>
      <c r="H132" s="34" t="s">
        <v>984</v>
      </c>
      <c r="I132" s="34" t="s">
        <v>984</v>
      </c>
      <c r="J132" s="34" t="s">
        <v>984</v>
      </c>
      <c r="K132" s="307"/>
      <c r="L132" s="307"/>
      <c r="M132" s="307"/>
      <c r="N132" s="91"/>
      <c r="O132" s="307"/>
    </row>
    <row r="133" spans="2:15" s="44" customFormat="1" x14ac:dyDescent="0.25">
      <c r="B133" s="302"/>
      <c r="C133" s="312"/>
      <c r="D133" s="312"/>
      <c r="E133" s="34">
        <v>10</v>
      </c>
      <c r="F133" s="34">
        <v>0</v>
      </c>
      <c r="G133" s="34">
        <v>0</v>
      </c>
      <c r="H133" s="34">
        <v>1</v>
      </c>
      <c r="I133" s="34">
        <v>150</v>
      </c>
      <c r="J133" s="34">
        <v>12</v>
      </c>
      <c r="K133" s="307"/>
      <c r="L133" s="307"/>
      <c r="M133" s="307"/>
      <c r="N133" s="91"/>
      <c r="O133" s="307"/>
    </row>
    <row r="134" spans="2:15" s="44" customFormat="1" x14ac:dyDescent="0.25">
      <c r="B134" s="302"/>
      <c r="C134" s="315">
        <v>1</v>
      </c>
      <c r="D134" s="315">
        <v>2</v>
      </c>
      <c r="E134" s="35">
        <v>0</v>
      </c>
      <c r="F134" s="35">
        <v>0</v>
      </c>
      <c r="G134" s="35">
        <v>0</v>
      </c>
      <c r="H134" s="35" t="s">
        <v>131</v>
      </c>
      <c r="I134" s="35">
        <v>0</v>
      </c>
      <c r="J134" s="35">
        <v>15</v>
      </c>
      <c r="K134" s="307"/>
      <c r="L134" s="307"/>
      <c r="M134" s="307"/>
      <c r="N134" s="91"/>
      <c r="O134" s="307"/>
    </row>
    <row r="135" spans="2:15" s="44" customFormat="1" x14ac:dyDescent="0.25">
      <c r="B135" s="302"/>
      <c r="C135" s="316"/>
      <c r="D135" s="316"/>
      <c r="E135" s="35">
        <v>1</v>
      </c>
      <c r="F135" s="35">
        <v>0</v>
      </c>
      <c r="G135" s="35">
        <v>0</v>
      </c>
      <c r="H135" s="35" t="s">
        <v>131</v>
      </c>
      <c r="I135" s="35">
        <v>15</v>
      </c>
      <c r="J135" s="35">
        <v>15</v>
      </c>
      <c r="K135" s="307"/>
      <c r="L135" s="307"/>
      <c r="M135" s="307"/>
      <c r="N135" s="91"/>
      <c r="O135" s="307"/>
    </row>
    <row r="136" spans="2:15" s="44" customFormat="1" x14ac:dyDescent="0.25">
      <c r="B136" s="302"/>
      <c r="C136" s="43" t="s">
        <v>984</v>
      </c>
      <c r="D136" s="43" t="s">
        <v>984</v>
      </c>
      <c r="E136" s="43" t="s">
        <v>984</v>
      </c>
      <c r="F136" s="43" t="s">
        <v>984</v>
      </c>
      <c r="G136" s="43" t="s">
        <v>984</v>
      </c>
      <c r="H136" s="43" t="s">
        <v>984</v>
      </c>
      <c r="I136" s="43" t="s">
        <v>984</v>
      </c>
      <c r="J136" s="43" t="s">
        <v>984</v>
      </c>
      <c r="K136" s="307"/>
      <c r="L136" s="307"/>
      <c r="M136" s="307"/>
      <c r="N136" s="91"/>
      <c r="O136" s="307"/>
    </row>
    <row r="137" spans="2:15" s="44" customFormat="1" x14ac:dyDescent="0.25">
      <c r="B137" s="302"/>
      <c r="C137" s="315">
        <v>5</v>
      </c>
      <c r="D137" s="315">
        <v>2</v>
      </c>
      <c r="E137" s="35">
        <v>8</v>
      </c>
      <c r="F137" s="35">
        <v>0</v>
      </c>
      <c r="G137" s="35">
        <v>0</v>
      </c>
      <c r="H137" s="35" t="s">
        <v>131</v>
      </c>
      <c r="I137" s="35">
        <v>120</v>
      </c>
      <c r="J137" s="35">
        <v>15</v>
      </c>
      <c r="K137" s="307"/>
      <c r="L137" s="307"/>
      <c r="M137" s="307"/>
      <c r="N137" s="91"/>
      <c r="O137" s="307"/>
    </row>
    <row r="138" spans="2:15" s="44" customFormat="1" x14ac:dyDescent="0.25">
      <c r="B138" s="302"/>
      <c r="C138" s="316"/>
      <c r="D138" s="316"/>
      <c r="E138" s="35">
        <v>9</v>
      </c>
      <c r="F138" s="35">
        <v>0</v>
      </c>
      <c r="G138" s="35">
        <v>0</v>
      </c>
      <c r="H138" s="35" t="s">
        <v>131</v>
      </c>
      <c r="I138" s="35">
        <v>135</v>
      </c>
      <c r="J138" s="35">
        <v>15</v>
      </c>
      <c r="K138" s="307"/>
      <c r="L138" s="307"/>
      <c r="M138" s="307"/>
      <c r="N138" s="91"/>
      <c r="O138" s="307"/>
    </row>
    <row r="139" spans="2:15" s="44" customFormat="1" x14ac:dyDescent="0.25">
      <c r="B139" s="303"/>
      <c r="C139" s="42">
        <v>6</v>
      </c>
      <c r="D139" s="42">
        <v>1</v>
      </c>
      <c r="E139" s="35">
        <v>10</v>
      </c>
      <c r="F139" s="35">
        <v>0</v>
      </c>
      <c r="G139" s="35">
        <v>0</v>
      </c>
      <c r="H139" s="35" t="s">
        <v>131</v>
      </c>
      <c r="I139" s="35">
        <v>150</v>
      </c>
      <c r="J139" s="35">
        <v>12</v>
      </c>
      <c r="K139" s="308"/>
      <c r="L139" s="308"/>
      <c r="M139" s="308"/>
      <c r="N139" s="92"/>
      <c r="O139" s="308"/>
    </row>
    <row r="140" spans="2:15" s="44" customFormat="1" x14ac:dyDescent="0.25">
      <c r="B140" s="304">
        <v>23</v>
      </c>
      <c r="C140" s="310">
        <v>1</v>
      </c>
      <c r="D140" s="310">
        <v>7</v>
      </c>
      <c r="E140" s="34">
        <v>0</v>
      </c>
      <c r="F140" s="34">
        <v>0</v>
      </c>
      <c r="G140" s="34">
        <v>0</v>
      </c>
      <c r="H140" s="34">
        <v>1</v>
      </c>
      <c r="I140" s="34">
        <v>0</v>
      </c>
      <c r="J140" s="34">
        <v>15</v>
      </c>
      <c r="K140" s="301" t="s">
        <v>1054</v>
      </c>
      <c r="L140" s="301" t="s">
        <v>988</v>
      </c>
      <c r="M140" s="301" t="s">
        <v>1055</v>
      </c>
      <c r="N140" s="90"/>
      <c r="O140" s="301"/>
    </row>
    <row r="141" spans="2:15" s="44" customFormat="1" ht="14.45" customHeight="1" x14ac:dyDescent="0.25">
      <c r="B141" s="302"/>
      <c r="C141" s="311"/>
      <c r="D141" s="311"/>
      <c r="E141" s="34">
        <v>1</v>
      </c>
      <c r="F141" s="34">
        <v>0</v>
      </c>
      <c r="G141" s="34">
        <v>0</v>
      </c>
      <c r="H141" s="34">
        <v>1</v>
      </c>
      <c r="I141" s="34">
        <v>30</v>
      </c>
      <c r="J141" s="34">
        <v>15</v>
      </c>
      <c r="K141" s="307"/>
      <c r="L141" s="307"/>
      <c r="M141" s="307"/>
      <c r="N141" s="91"/>
      <c r="O141" s="307"/>
    </row>
    <row r="142" spans="2:15" s="44" customFormat="1" x14ac:dyDescent="0.25">
      <c r="B142" s="302"/>
      <c r="C142" s="311"/>
      <c r="D142" s="311"/>
      <c r="E142" s="34" t="s">
        <v>984</v>
      </c>
      <c r="F142" s="34" t="s">
        <v>984</v>
      </c>
      <c r="G142" s="34" t="s">
        <v>984</v>
      </c>
      <c r="H142" s="34" t="s">
        <v>984</v>
      </c>
      <c r="I142" s="34" t="s">
        <v>984</v>
      </c>
      <c r="J142" s="34" t="s">
        <v>984</v>
      </c>
      <c r="K142" s="307"/>
      <c r="L142" s="307"/>
      <c r="M142" s="307"/>
      <c r="N142" s="91"/>
      <c r="O142" s="307"/>
    </row>
    <row r="143" spans="2:15" s="44" customFormat="1" x14ac:dyDescent="0.25">
      <c r="B143" s="302"/>
      <c r="C143" s="312"/>
      <c r="D143" s="312"/>
      <c r="E143" s="34">
        <v>6</v>
      </c>
      <c r="F143" s="34">
        <v>0</v>
      </c>
      <c r="G143" s="34">
        <v>0</v>
      </c>
      <c r="H143" s="34">
        <v>1</v>
      </c>
      <c r="I143" s="34">
        <v>150</v>
      </c>
      <c r="J143" s="34">
        <v>12</v>
      </c>
      <c r="K143" s="307"/>
      <c r="L143" s="307"/>
      <c r="M143" s="307"/>
      <c r="N143" s="91"/>
      <c r="O143" s="307"/>
    </row>
    <row r="144" spans="2:15" s="44" customFormat="1" x14ac:dyDescent="0.25">
      <c r="B144" s="302"/>
      <c r="C144" s="315">
        <v>1</v>
      </c>
      <c r="D144" s="315">
        <v>2</v>
      </c>
      <c r="E144" s="35">
        <v>0</v>
      </c>
      <c r="F144" s="35">
        <v>0</v>
      </c>
      <c r="G144" s="35">
        <v>0</v>
      </c>
      <c r="H144" s="35" t="s">
        <v>131</v>
      </c>
      <c r="I144" s="35">
        <v>0</v>
      </c>
      <c r="J144" s="35">
        <v>15</v>
      </c>
      <c r="K144" s="307"/>
      <c r="L144" s="307"/>
      <c r="M144" s="307"/>
      <c r="N144" s="91"/>
      <c r="O144" s="307"/>
    </row>
    <row r="145" spans="2:15" s="44" customFormat="1" x14ac:dyDescent="0.25">
      <c r="B145" s="302"/>
      <c r="C145" s="316"/>
      <c r="D145" s="316"/>
      <c r="E145" s="35">
        <v>1</v>
      </c>
      <c r="F145" s="35">
        <v>0</v>
      </c>
      <c r="G145" s="35">
        <v>0</v>
      </c>
      <c r="H145" s="35" t="s">
        <v>131</v>
      </c>
      <c r="I145" s="35">
        <v>30</v>
      </c>
      <c r="J145" s="35">
        <v>15</v>
      </c>
      <c r="K145" s="307"/>
      <c r="L145" s="307"/>
      <c r="M145" s="307"/>
      <c r="N145" s="91"/>
      <c r="O145" s="307"/>
    </row>
    <row r="146" spans="2:15" s="44" customFormat="1" x14ac:dyDescent="0.25">
      <c r="B146" s="302"/>
      <c r="C146" s="43" t="s">
        <v>984</v>
      </c>
      <c r="D146" s="43" t="s">
        <v>984</v>
      </c>
      <c r="E146" s="43" t="s">
        <v>984</v>
      </c>
      <c r="F146" s="43" t="s">
        <v>984</v>
      </c>
      <c r="G146" s="43" t="s">
        <v>984</v>
      </c>
      <c r="H146" s="43" t="s">
        <v>984</v>
      </c>
      <c r="I146" s="43" t="s">
        <v>984</v>
      </c>
      <c r="J146" s="43" t="s">
        <v>984</v>
      </c>
      <c r="K146" s="307"/>
      <c r="L146" s="307"/>
      <c r="M146" s="307"/>
      <c r="N146" s="91"/>
      <c r="O146" s="307"/>
    </row>
    <row r="147" spans="2:15" s="44" customFormat="1" x14ac:dyDescent="0.25">
      <c r="B147" s="302"/>
      <c r="C147" s="315">
        <v>3</v>
      </c>
      <c r="D147" s="315">
        <v>2</v>
      </c>
      <c r="E147" s="35">
        <v>8</v>
      </c>
      <c r="F147" s="35">
        <v>0</v>
      </c>
      <c r="G147" s="35">
        <v>0</v>
      </c>
      <c r="H147" s="35" t="s">
        <v>131</v>
      </c>
      <c r="I147" s="35">
        <v>90</v>
      </c>
      <c r="J147" s="35">
        <v>15</v>
      </c>
      <c r="K147" s="307"/>
      <c r="L147" s="307"/>
      <c r="M147" s="307"/>
      <c r="N147" s="91"/>
      <c r="O147" s="307"/>
    </row>
    <row r="148" spans="2:15" s="44" customFormat="1" x14ac:dyDescent="0.25">
      <c r="B148" s="302"/>
      <c r="C148" s="316"/>
      <c r="D148" s="316"/>
      <c r="E148" s="35">
        <v>9</v>
      </c>
      <c r="F148" s="35">
        <v>0</v>
      </c>
      <c r="G148" s="35">
        <v>0</v>
      </c>
      <c r="H148" s="35" t="s">
        <v>131</v>
      </c>
      <c r="I148" s="35">
        <v>120</v>
      </c>
      <c r="J148" s="35">
        <v>15</v>
      </c>
      <c r="K148" s="307"/>
      <c r="L148" s="307"/>
      <c r="M148" s="307"/>
      <c r="N148" s="91"/>
      <c r="O148" s="307"/>
    </row>
    <row r="149" spans="2:15" s="44" customFormat="1" x14ac:dyDescent="0.25">
      <c r="B149" s="303"/>
      <c r="C149" s="42">
        <v>4</v>
      </c>
      <c r="D149" s="42">
        <v>1</v>
      </c>
      <c r="E149" s="35">
        <v>10</v>
      </c>
      <c r="F149" s="35">
        <v>0</v>
      </c>
      <c r="G149" s="35">
        <v>0</v>
      </c>
      <c r="H149" s="35" t="s">
        <v>131</v>
      </c>
      <c r="I149" s="35">
        <v>150</v>
      </c>
      <c r="J149" s="35">
        <v>12</v>
      </c>
      <c r="K149" s="308"/>
      <c r="L149" s="308"/>
      <c r="M149" s="308"/>
      <c r="N149" s="92"/>
      <c r="O149" s="308"/>
    </row>
    <row r="150" spans="2:15" s="44" customFormat="1" x14ac:dyDescent="0.25">
      <c r="B150" s="304">
        <v>24</v>
      </c>
      <c r="C150" s="310">
        <v>1</v>
      </c>
      <c r="D150" s="310">
        <v>7</v>
      </c>
      <c r="E150" s="34">
        <v>0</v>
      </c>
      <c r="F150" s="34">
        <v>0</v>
      </c>
      <c r="G150" s="34">
        <v>0</v>
      </c>
      <c r="H150" s="34">
        <v>1</v>
      </c>
      <c r="I150" s="34">
        <v>30</v>
      </c>
      <c r="J150" s="34">
        <v>15</v>
      </c>
      <c r="K150" s="301" t="s">
        <v>1056</v>
      </c>
      <c r="L150" s="301" t="s">
        <v>994</v>
      </c>
      <c r="M150" s="301" t="s">
        <v>1057</v>
      </c>
      <c r="N150" s="90"/>
      <c r="O150" s="301"/>
    </row>
    <row r="151" spans="2:15" s="44" customFormat="1" x14ac:dyDescent="0.25">
      <c r="B151" s="302"/>
      <c r="C151" s="311"/>
      <c r="D151" s="311"/>
      <c r="E151" s="34">
        <v>1</v>
      </c>
      <c r="F151" s="34">
        <v>0</v>
      </c>
      <c r="G151" s="34">
        <v>0</v>
      </c>
      <c r="H151" s="34">
        <v>1</v>
      </c>
      <c r="I151" s="34">
        <v>0</v>
      </c>
      <c r="J151" s="34">
        <v>15</v>
      </c>
      <c r="K151" s="307"/>
      <c r="L151" s="307"/>
      <c r="M151" s="307"/>
      <c r="N151" s="91"/>
      <c r="O151" s="307"/>
    </row>
    <row r="152" spans="2:15" s="44" customFormat="1" ht="14.45" customHeight="1" x14ac:dyDescent="0.25">
      <c r="B152" s="302"/>
      <c r="C152" s="311"/>
      <c r="D152" s="311"/>
      <c r="E152" s="34" t="s">
        <v>984</v>
      </c>
      <c r="F152" s="34" t="s">
        <v>984</v>
      </c>
      <c r="G152" s="34" t="s">
        <v>984</v>
      </c>
      <c r="H152" s="34" t="s">
        <v>984</v>
      </c>
      <c r="I152" s="34" t="s">
        <v>984</v>
      </c>
      <c r="J152" s="34" t="s">
        <v>984</v>
      </c>
      <c r="K152" s="307"/>
      <c r="L152" s="307"/>
      <c r="M152" s="307"/>
      <c r="N152" s="91"/>
      <c r="O152" s="307"/>
    </row>
    <row r="153" spans="2:15" s="44" customFormat="1" x14ac:dyDescent="0.25">
      <c r="B153" s="302"/>
      <c r="C153" s="312"/>
      <c r="D153" s="312"/>
      <c r="E153" s="34">
        <v>6</v>
      </c>
      <c r="F153" s="34">
        <v>0</v>
      </c>
      <c r="G153" s="34">
        <v>0</v>
      </c>
      <c r="H153" s="34">
        <v>1</v>
      </c>
      <c r="I153" s="34">
        <v>150</v>
      </c>
      <c r="J153" s="34">
        <v>12</v>
      </c>
      <c r="K153" s="307"/>
      <c r="L153" s="307"/>
      <c r="M153" s="307"/>
      <c r="N153" s="91"/>
      <c r="O153" s="307"/>
    </row>
    <row r="154" spans="2:15" s="44" customFormat="1" x14ac:dyDescent="0.25">
      <c r="B154" s="302"/>
      <c r="C154" s="315">
        <v>1</v>
      </c>
      <c r="D154" s="315">
        <v>2</v>
      </c>
      <c r="E154" s="35">
        <v>0</v>
      </c>
      <c r="F154" s="35">
        <v>0</v>
      </c>
      <c r="G154" s="35">
        <v>0</v>
      </c>
      <c r="H154" s="35" t="s">
        <v>131</v>
      </c>
      <c r="I154" s="35">
        <v>0</v>
      </c>
      <c r="J154" s="35">
        <v>15</v>
      </c>
      <c r="K154" s="307"/>
      <c r="L154" s="307"/>
      <c r="M154" s="307"/>
      <c r="N154" s="91"/>
      <c r="O154" s="307"/>
    </row>
    <row r="155" spans="2:15" s="44" customFormat="1" x14ac:dyDescent="0.25">
      <c r="B155" s="302"/>
      <c r="C155" s="316"/>
      <c r="D155" s="316"/>
      <c r="E155" s="35">
        <v>1</v>
      </c>
      <c r="F155" s="35">
        <v>0</v>
      </c>
      <c r="G155" s="35">
        <v>0</v>
      </c>
      <c r="H155" s="35" t="s">
        <v>131</v>
      </c>
      <c r="I155" s="35">
        <v>30</v>
      </c>
      <c r="J155" s="35">
        <v>15</v>
      </c>
      <c r="K155" s="307"/>
      <c r="L155" s="307"/>
      <c r="M155" s="307"/>
      <c r="N155" s="91"/>
      <c r="O155" s="307"/>
    </row>
    <row r="156" spans="2:15" s="44" customFormat="1" x14ac:dyDescent="0.25">
      <c r="B156" s="302"/>
      <c r="C156" s="43" t="s">
        <v>984</v>
      </c>
      <c r="D156" s="43" t="s">
        <v>984</v>
      </c>
      <c r="E156" s="43" t="s">
        <v>984</v>
      </c>
      <c r="F156" s="43" t="s">
        <v>984</v>
      </c>
      <c r="G156" s="43" t="s">
        <v>984</v>
      </c>
      <c r="H156" s="43" t="s">
        <v>984</v>
      </c>
      <c r="I156" s="43" t="s">
        <v>984</v>
      </c>
      <c r="J156" s="43" t="s">
        <v>984</v>
      </c>
      <c r="K156" s="307"/>
      <c r="L156" s="307"/>
      <c r="M156" s="307"/>
      <c r="N156" s="91"/>
      <c r="O156" s="307"/>
    </row>
    <row r="157" spans="2:15" s="44" customFormat="1" x14ac:dyDescent="0.25">
      <c r="B157" s="302"/>
      <c r="C157" s="315">
        <v>3</v>
      </c>
      <c r="D157" s="315">
        <v>2</v>
      </c>
      <c r="E157" s="35">
        <v>8</v>
      </c>
      <c r="F157" s="35">
        <v>0</v>
      </c>
      <c r="G157" s="35">
        <v>0</v>
      </c>
      <c r="H157" s="35" t="s">
        <v>131</v>
      </c>
      <c r="I157" s="35">
        <v>90</v>
      </c>
      <c r="J157" s="35">
        <v>15</v>
      </c>
      <c r="K157" s="307"/>
      <c r="L157" s="307"/>
      <c r="M157" s="307"/>
      <c r="N157" s="91"/>
      <c r="O157" s="307"/>
    </row>
    <row r="158" spans="2:15" s="44" customFormat="1" x14ac:dyDescent="0.25">
      <c r="B158" s="302"/>
      <c r="C158" s="316"/>
      <c r="D158" s="316"/>
      <c r="E158" s="35">
        <v>9</v>
      </c>
      <c r="F158" s="35">
        <v>0</v>
      </c>
      <c r="G158" s="35">
        <v>0</v>
      </c>
      <c r="H158" s="35" t="s">
        <v>131</v>
      </c>
      <c r="I158" s="35">
        <v>120</v>
      </c>
      <c r="J158" s="35">
        <v>15</v>
      </c>
      <c r="K158" s="307"/>
      <c r="L158" s="307"/>
      <c r="M158" s="307"/>
      <c r="N158" s="91"/>
      <c r="O158" s="307"/>
    </row>
    <row r="159" spans="2:15" s="44" customFormat="1" x14ac:dyDescent="0.25">
      <c r="B159" s="303"/>
      <c r="C159" s="42">
        <v>4</v>
      </c>
      <c r="D159" s="42">
        <v>1</v>
      </c>
      <c r="E159" s="35">
        <v>10</v>
      </c>
      <c r="F159" s="35">
        <v>0</v>
      </c>
      <c r="G159" s="35">
        <v>0</v>
      </c>
      <c r="H159" s="35" t="s">
        <v>131</v>
      </c>
      <c r="I159" s="35">
        <v>150</v>
      </c>
      <c r="J159" s="35">
        <v>12</v>
      </c>
      <c r="K159" s="308"/>
      <c r="L159" s="308"/>
      <c r="M159" s="308"/>
      <c r="N159" s="92"/>
      <c r="O159" s="308"/>
    </row>
    <row r="160" spans="2:15" s="44" customFormat="1" x14ac:dyDescent="0.25">
      <c r="B160" s="304" t="s">
        <v>1020</v>
      </c>
      <c r="C160" s="34">
        <v>1</v>
      </c>
      <c r="D160" s="34">
        <v>1</v>
      </c>
      <c r="E160" s="34">
        <v>0</v>
      </c>
      <c r="F160" s="34">
        <v>0</v>
      </c>
      <c r="G160" s="34">
        <v>0</v>
      </c>
      <c r="H160" s="34">
        <v>14</v>
      </c>
      <c r="I160" s="34">
        <v>0</v>
      </c>
      <c r="J160" s="34">
        <v>162</v>
      </c>
      <c r="K160" s="304" t="s">
        <v>1058</v>
      </c>
      <c r="L160" s="301" t="s">
        <v>980</v>
      </c>
      <c r="M160" s="301" t="s">
        <v>1059</v>
      </c>
      <c r="N160" s="90"/>
      <c r="O160" s="301"/>
    </row>
    <row r="161" spans="2:15" s="44" customFormat="1" x14ac:dyDescent="0.25">
      <c r="B161" s="302"/>
      <c r="C161" s="35">
        <v>1</v>
      </c>
      <c r="D161" s="35">
        <v>1</v>
      </c>
      <c r="E161" s="35">
        <v>0</v>
      </c>
      <c r="F161" s="35">
        <v>0</v>
      </c>
      <c r="G161" s="35">
        <v>0</v>
      </c>
      <c r="H161" s="35" t="s">
        <v>131</v>
      </c>
      <c r="I161" s="35">
        <v>0</v>
      </c>
      <c r="J161" s="35">
        <v>52</v>
      </c>
      <c r="K161" s="302"/>
      <c r="L161" s="307"/>
      <c r="M161" s="307"/>
      <c r="N161" s="91"/>
      <c r="O161" s="307"/>
    </row>
    <row r="162" spans="2:15" s="44" customFormat="1" x14ac:dyDescent="0.25">
      <c r="B162" s="302"/>
      <c r="C162" s="35">
        <v>2</v>
      </c>
      <c r="D162" s="35">
        <v>1</v>
      </c>
      <c r="E162" s="35">
        <v>0</v>
      </c>
      <c r="F162" s="35">
        <v>0</v>
      </c>
      <c r="G162" s="35">
        <v>0</v>
      </c>
      <c r="H162" s="35" t="s">
        <v>131</v>
      </c>
      <c r="I162" s="35">
        <v>52</v>
      </c>
      <c r="J162" s="35">
        <v>52</v>
      </c>
      <c r="K162" s="302"/>
      <c r="L162" s="307"/>
      <c r="M162" s="307"/>
      <c r="N162" s="91"/>
      <c r="O162" s="307"/>
    </row>
    <row r="163" spans="2:15" s="44" customFormat="1" x14ac:dyDescent="0.25">
      <c r="B163" s="302"/>
      <c r="C163" s="43" t="s">
        <v>984</v>
      </c>
      <c r="D163" s="43" t="s">
        <v>984</v>
      </c>
      <c r="E163" s="43" t="s">
        <v>984</v>
      </c>
      <c r="F163" s="43" t="s">
        <v>984</v>
      </c>
      <c r="G163" s="43" t="s">
        <v>984</v>
      </c>
      <c r="H163" s="43" t="s">
        <v>984</v>
      </c>
      <c r="I163" s="43" t="s">
        <v>984</v>
      </c>
      <c r="J163" s="43" t="s">
        <v>984</v>
      </c>
      <c r="K163" s="302"/>
      <c r="L163" s="307"/>
      <c r="M163" s="307"/>
      <c r="N163" s="91"/>
      <c r="O163" s="307"/>
    </row>
    <row r="164" spans="2:15" s="44" customFormat="1" x14ac:dyDescent="0.25">
      <c r="B164" s="302"/>
      <c r="C164" s="35">
        <v>4</v>
      </c>
      <c r="D164" s="35">
        <v>1</v>
      </c>
      <c r="E164" s="35">
        <v>0</v>
      </c>
      <c r="F164" s="35">
        <v>0</v>
      </c>
      <c r="G164" s="35">
        <v>0</v>
      </c>
      <c r="H164" s="35" t="s">
        <v>131</v>
      </c>
      <c r="I164" s="35">
        <v>156</v>
      </c>
      <c r="J164" s="35">
        <v>6</v>
      </c>
      <c r="K164" s="302"/>
      <c r="L164" s="307"/>
      <c r="M164" s="307"/>
      <c r="N164" s="91"/>
      <c r="O164" s="307"/>
    </row>
    <row r="165" spans="2:15" s="44" customFormat="1" x14ac:dyDescent="0.25">
      <c r="B165" s="302"/>
      <c r="C165" s="43" t="s">
        <v>984</v>
      </c>
      <c r="D165" s="43" t="s">
        <v>984</v>
      </c>
      <c r="E165" s="43" t="s">
        <v>984</v>
      </c>
      <c r="F165" s="43" t="s">
        <v>984</v>
      </c>
      <c r="G165" s="43" t="s">
        <v>984</v>
      </c>
      <c r="H165" s="43" t="s">
        <v>984</v>
      </c>
      <c r="I165" s="43" t="s">
        <v>984</v>
      </c>
      <c r="J165" s="43" t="s">
        <v>984</v>
      </c>
      <c r="K165" s="302"/>
      <c r="L165" s="307"/>
      <c r="M165" s="307"/>
      <c r="N165" s="91"/>
      <c r="O165" s="307"/>
    </row>
    <row r="166" spans="2:15" s="44" customFormat="1" x14ac:dyDescent="0.25">
      <c r="B166" s="302"/>
      <c r="C166" s="35">
        <v>53</v>
      </c>
      <c r="D166" s="35">
        <v>1</v>
      </c>
      <c r="E166" s="35">
        <v>0</v>
      </c>
      <c r="F166" s="35">
        <v>13</v>
      </c>
      <c r="G166" s="35">
        <v>0</v>
      </c>
      <c r="H166" s="35" t="s">
        <v>131</v>
      </c>
      <c r="I166" s="35">
        <v>0</v>
      </c>
      <c r="J166" s="35">
        <v>52</v>
      </c>
      <c r="K166" s="302"/>
      <c r="L166" s="307"/>
      <c r="M166" s="307"/>
      <c r="N166" s="91"/>
      <c r="O166" s="307"/>
    </row>
    <row r="167" spans="2:15" s="44" customFormat="1" x14ac:dyDescent="0.25">
      <c r="B167" s="302"/>
      <c r="C167" s="35">
        <v>54</v>
      </c>
      <c r="D167" s="35">
        <v>1</v>
      </c>
      <c r="E167" s="35">
        <v>0</v>
      </c>
      <c r="F167" s="35">
        <v>13</v>
      </c>
      <c r="G167" s="35">
        <v>0</v>
      </c>
      <c r="H167" s="35" t="s">
        <v>131</v>
      </c>
      <c r="I167" s="35">
        <v>52</v>
      </c>
      <c r="J167" s="35">
        <v>52</v>
      </c>
      <c r="K167" s="302"/>
      <c r="L167" s="307"/>
      <c r="M167" s="307"/>
      <c r="N167" s="91"/>
      <c r="O167" s="307"/>
    </row>
    <row r="168" spans="2:15" s="44" customFormat="1" x14ac:dyDescent="0.25">
      <c r="B168" s="302"/>
      <c r="C168" s="43" t="s">
        <v>984</v>
      </c>
      <c r="D168" s="43" t="s">
        <v>984</v>
      </c>
      <c r="E168" s="43" t="s">
        <v>984</v>
      </c>
      <c r="F168" s="43" t="s">
        <v>984</v>
      </c>
      <c r="G168" s="43" t="s">
        <v>984</v>
      </c>
      <c r="H168" s="43" t="s">
        <v>984</v>
      </c>
      <c r="I168" s="43" t="s">
        <v>984</v>
      </c>
      <c r="J168" s="43" t="s">
        <v>984</v>
      </c>
      <c r="K168" s="302"/>
      <c r="L168" s="307"/>
      <c r="M168" s="307"/>
      <c r="N168" s="91"/>
      <c r="O168" s="307"/>
    </row>
    <row r="169" spans="2:15" s="44" customFormat="1" x14ac:dyDescent="0.25">
      <c r="B169" s="303"/>
      <c r="C169" s="35">
        <v>56</v>
      </c>
      <c r="D169" s="35">
        <v>1</v>
      </c>
      <c r="E169" s="35">
        <v>0</v>
      </c>
      <c r="F169" s="35">
        <v>13</v>
      </c>
      <c r="G169" s="35">
        <v>0</v>
      </c>
      <c r="H169" s="35" t="s">
        <v>131</v>
      </c>
      <c r="I169" s="35">
        <v>156</v>
      </c>
      <c r="J169" s="35">
        <v>6</v>
      </c>
      <c r="K169" s="303"/>
      <c r="L169" s="308"/>
      <c r="M169" s="308"/>
      <c r="N169" s="92"/>
      <c r="O169" s="308"/>
    </row>
  </sheetData>
  <mergeCells count="157">
    <mergeCell ref="C2:O2"/>
    <mergeCell ref="B3:B4"/>
    <mergeCell ref="K3:K4"/>
    <mergeCell ref="L3:L4"/>
    <mergeCell ref="M3:M4"/>
    <mergeCell ref="O3:O4"/>
    <mergeCell ref="M10:M19"/>
    <mergeCell ref="O10:O19"/>
    <mergeCell ref="C14:C16"/>
    <mergeCell ref="D14:D16"/>
    <mergeCell ref="C17:C19"/>
    <mergeCell ref="D17:D19"/>
    <mergeCell ref="B10:B19"/>
    <mergeCell ref="C10:C13"/>
    <mergeCell ref="D10:D13"/>
    <mergeCell ref="K10:K19"/>
    <mergeCell ref="L10:L19"/>
    <mergeCell ref="O5:O9"/>
    <mergeCell ref="M5:M9"/>
    <mergeCell ref="L5:L9"/>
    <mergeCell ref="K5:K9"/>
    <mergeCell ref="B5:B9"/>
    <mergeCell ref="N3:N4"/>
    <mergeCell ref="O20:O29"/>
    <mergeCell ref="C24:C26"/>
    <mergeCell ref="D24:D26"/>
    <mergeCell ref="C27:C29"/>
    <mergeCell ref="D27:D29"/>
    <mergeCell ref="B30:B38"/>
    <mergeCell ref="C30:C33"/>
    <mergeCell ref="D30:D33"/>
    <mergeCell ref="K30:K38"/>
    <mergeCell ref="L30:L38"/>
    <mergeCell ref="B20:B29"/>
    <mergeCell ref="C20:C23"/>
    <mergeCell ref="D20:D23"/>
    <mergeCell ref="K20:K29"/>
    <mergeCell ref="L20:L29"/>
    <mergeCell ref="M20:M29"/>
    <mergeCell ref="B49:B58"/>
    <mergeCell ref="C49:C52"/>
    <mergeCell ref="D49:D52"/>
    <mergeCell ref="M30:M38"/>
    <mergeCell ref="O30:O38"/>
    <mergeCell ref="B39:B48"/>
    <mergeCell ref="C39:C42"/>
    <mergeCell ref="D39:D42"/>
    <mergeCell ref="K39:K48"/>
    <mergeCell ref="L39:L48"/>
    <mergeCell ref="M39:M48"/>
    <mergeCell ref="O39:O48"/>
    <mergeCell ref="C43:C45"/>
    <mergeCell ref="K49:K58"/>
    <mergeCell ref="L49:L58"/>
    <mergeCell ref="M49:M58"/>
    <mergeCell ref="O49:O58"/>
    <mergeCell ref="C53:C55"/>
    <mergeCell ref="D53:D55"/>
    <mergeCell ref="C56:C58"/>
    <mergeCell ref="D56:D58"/>
    <mergeCell ref="D43:D45"/>
    <mergeCell ref="C46:C48"/>
    <mergeCell ref="D46:D48"/>
    <mergeCell ref="B73:O73"/>
    <mergeCell ref="B74:B83"/>
    <mergeCell ref="K74:K83"/>
    <mergeCell ref="L74:L83"/>
    <mergeCell ref="M74:M83"/>
    <mergeCell ref="O74:O83"/>
    <mergeCell ref="O59:O68"/>
    <mergeCell ref="C63:C65"/>
    <mergeCell ref="D63:D65"/>
    <mergeCell ref="C66:C68"/>
    <mergeCell ref="D66:D68"/>
    <mergeCell ref="B69:B72"/>
    <mergeCell ref="K69:K72"/>
    <mergeCell ref="L69:L72"/>
    <mergeCell ref="M69:M72"/>
    <mergeCell ref="O69:O72"/>
    <mergeCell ref="B59:B68"/>
    <mergeCell ref="C59:C62"/>
    <mergeCell ref="D59:D62"/>
    <mergeCell ref="K59:K68"/>
    <mergeCell ref="L59:L68"/>
    <mergeCell ref="M59:M68"/>
    <mergeCell ref="M97:M106"/>
    <mergeCell ref="O97:O106"/>
    <mergeCell ref="C101:C102"/>
    <mergeCell ref="D101:D102"/>
    <mergeCell ref="C104:C105"/>
    <mergeCell ref="D104:D105"/>
    <mergeCell ref="B84:B96"/>
    <mergeCell ref="K84:K96"/>
    <mergeCell ref="L84:L96"/>
    <mergeCell ref="M84:M96"/>
    <mergeCell ref="O84:O96"/>
    <mergeCell ref="B97:B106"/>
    <mergeCell ref="C97:C100"/>
    <mergeCell ref="D97:D100"/>
    <mergeCell ref="K97:K106"/>
    <mergeCell ref="L97:L106"/>
    <mergeCell ref="O107:O116"/>
    <mergeCell ref="C111:C112"/>
    <mergeCell ref="D111:D112"/>
    <mergeCell ref="C114:C115"/>
    <mergeCell ref="D114:D115"/>
    <mergeCell ref="B117:B129"/>
    <mergeCell ref="C117:C120"/>
    <mergeCell ref="D117:D120"/>
    <mergeCell ref="K117:K129"/>
    <mergeCell ref="L117:L129"/>
    <mergeCell ref="B107:B116"/>
    <mergeCell ref="C107:C110"/>
    <mergeCell ref="D107:D110"/>
    <mergeCell ref="K107:K116"/>
    <mergeCell ref="L107:L116"/>
    <mergeCell ref="M107:M116"/>
    <mergeCell ref="M117:M129"/>
    <mergeCell ref="O117:O129"/>
    <mergeCell ref="B130:B139"/>
    <mergeCell ref="C130:C133"/>
    <mergeCell ref="D130:D133"/>
    <mergeCell ref="K130:K139"/>
    <mergeCell ref="L130:L139"/>
    <mergeCell ref="M130:M139"/>
    <mergeCell ref="O130:O139"/>
    <mergeCell ref="C134:C135"/>
    <mergeCell ref="K140:K149"/>
    <mergeCell ref="L140:L149"/>
    <mergeCell ref="M140:M149"/>
    <mergeCell ref="O140:O149"/>
    <mergeCell ref="C144:C145"/>
    <mergeCell ref="D144:D145"/>
    <mergeCell ref="C147:C148"/>
    <mergeCell ref="D147:D148"/>
    <mergeCell ref="D134:D135"/>
    <mergeCell ref="C137:C138"/>
    <mergeCell ref="D137:D138"/>
    <mergeCell ref="B140:B149"/>
    <mergeCell ref="C140:C143"/>
    <mergeCell ref="D140:D143"/>
    <mergeCell ref="O150:O159"/>
    <mergeCell ref="C154:C155"/>
    <mergeCell ref="D154:D155"/>
    <mergeCell ref="C157:C158"/>
    <mergeCell ref="D157:D158"/>
    <mergeCell ref="B160:B169"/>
    <mergeCell ref="K160:K169"/>
    <mergeCell ref="L160:L169"/>
    <mergeCell ref="M160:M169"/>
    <mergeCell ref="O160:O169"/>
    <mergeCell ref="B150:B159"/>
    <mergeCell ref="C150:C153"/>
    <mergeCell ref="D150:D153"/>
    <mergeCell ref="K150:K159"/>
    <mergeCell ref="L150:L159"/>
    <mergeCell ref="M150:M159"/>
  </mergeCells>
  <hyperlinks>
    <hyperlink ref="L1" location="'CU Plane Coupling - Use_cases'!A1" display="Use cases " xr:uid="{F4274CAD-F46A-4D72-B288-353A7D73FE8F}"/>
    <hyperlink ref="Q6" location="'CU Plane Coupling - Use_cases'!A1" display="Refer Usecase Sheet" xr:uid="{8772A4FE-1DCA-4230-82FE-3C60B2053C22}"/>
  </hyperlink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EA96-02C4-4C92-909B-56CBA32CD3F7}">
  <dimension ref="B1:Q202"/>
  <sheetViews>
    <sheetView zoomScale="90" zoomScaleNormal="90" workbookViewId="0">
      <pane xSplit="2" ySplit="1" topLeftCell="L2" activePane="bottomRight" state="frozen"/>
      <selection pane="topRight" activeCell="C1" sqref="C1"/>
      <selection pane="bottomLeft" activeCell="A2" sqref="A2"/>
      <selection pane="bottomRight" activeCell="T7" sqref="T7"/>
    </sheetView>
  </sheetViews>
  <sheetFormatPr defaultColWidth="8.85546875" defaultRowHeight="15" x14ac:dyDescent="0.25"/>
  <cols>
    <col min="1" max="2" width="8.85546875" style="44"/>
    <col min="3" max="3" width="14.5703125" style="44" bestFit="1" customWidth="1"/>
    <col min="4" max="4" width="18.5703125" style="44" bestFit="1" customWidth="1"/>
    <col min="5" max="5" width="9" style="44" bestFit="1" customWidth="1"/>
    <col min="6" max="6" width="13.42578125" style="44" bestFit="1" customWidth="1"/>
    <col min="7" max="7" width="7" style="44" bestFit="1" customWidth="1"/>
    <col min="8" max="8" width="11.42578125" style="44" bestFit="1" customWidth="1"/>
    <col min="9" max="9" width="23.5703125" style="44" bestFit="1" customWidth="1"/>
    <col min="10" max="10" width="14.42578125" style="44" customWidth="1"/>
    <col min="11" max="11" width="69.42578125" style="44" bestFit="1" customWidth="1"/>
    <col min="12" max="12" width="23.5703125" style="44" bestFit="1" customWidth="1"/>
    <col min="13" max="14" width="36.85546875" style="44" customWidth="1"/>
    <col min="15" max="15" width="8.85546875" style="44"/>
    <col min="16" max="16" width="17.140625" style="44" customWidth="1"/>
    <col min="17" max="17" width="17.140625" style="44" bestFit="1" customWidth="1"/>
    <col min="18" max="16384" width="8.85546875" style="44"/>
  </cols>
  <sheetData>
    <row r="1" spans="2:17" ht="27.6" customHeight="1" thickBot="1" x14ac:dyDescent="0.3">
      <c r="B1" s="46" t="s">
        <v>116</v>
      </c>
      <c r="C1" s="46" t="s">
        <v>117</v>
      </c>
      <c r="D1" s="47" t="s">
        <v>973</v>
      </c>
      <c r="E1" s="46" t="s">
        <v>119</v>
      </c>
      <c r="F1" s="46" t="s">
        <v>121</v>
      </c>
      <c r="G1" s="46" t="s">
        <v>122</v>
      </c>
      <c r="H1" s="46" t="s">
        <v>123</v>
      </c>
      <c r="I1" s="47" t="s">
        <v>974</v>
      </c>
      <c r="J1" s="47" t="s">
        <v>975</v>
      </c>
      <c r="K1" s="46" t="s">
        <v>2</v>
      </c>
      <c r="L1" s="49" t="s">
        <v>153</v>
      </c>
      <c r="M1" s="47" t="s">
        <v>976</v>
      </c>
      <c r="N1" s="47" t="s">
        <v>977</v>
      </c>
    </row>
    <row r="2" spans="2:17" ht="19.350000000000001" customHeight="1" thickBot="1" x14ac:dyDescent="0.3">
      <c r="B2" s="53"/>
      <c r="C2" s="389" t="s">
        <v>115</v>
      </c>
      <c r="D2" s="389"/>
      <c r="E2" s="389"/>
      <c r="F2" s="389"/>
      <c r="G2" s="389"/>
      <c r="H2" s="389"/>
      <c r="I2" s="389"/>
      <c r="J2" s="389"/>
      <c r="K2" s="389"/>
      <c r="L2" s="389"/>
      <c r="M2" s="389"/>
      <c r="N2" s="390"/>
    </row>
    <row r="3" spans="2:17" x14ac:dyDescent="0.25">
      <c r="B3" s="302">
        <v>1</v>
      </c>
      <c r="C3" s="36">
        <v>1</v>
      </c>
      <c r="D3" s="36">
        <v>1</v>
      </c>
      <c r="E3" s="36">
        <v>0</v>
      </c>
      <c r="F3" s="36">
        <v>0</v>
      </c>
      <c r="G3" s="36">
        <v>0</v>
      </c>
      <c r="H3" s="36">
        <v>14</v>
      </c>
      <c r="I3" s="36">
        <v>0</v>
      </c>
      <c r="J3" s="36">
        <v>273</v>
      </c>
      <c r="K3" s="323" t="s">
        <v>1060</v>
      </c>
      <c r="L3" s="398" t="s">
        <v>980</v>
      </c>
      <c r="M3" s="398" t="s">
        <v>1061</v>
      </c>
      <c r="N3" s="398"/>
    </row>
    <row r="4" spans="2:17" x14ac:dyDescent="0.25">
      <c r="B4" s="302"/>
      <c r="C4" s="35">
        <v>1</v>
      </c>
      <c r="D4" s="35">
        <v>1</v>
      </c>
      <c r="E4" s="35">
        <v>0</v>
      </c>
      <c r="F4" s="35">
        <v>0</v>
      </c>
      <c r="G4" s="35">
        <v>0</v>
      </c>
      <c r="H4" s="35" t="s">
        <v>131</v>
      </c>
      <c r="I4" s="35">
        <v>0</v>
      </c>
      <c r="J4" s="35">
        <v>91</v>
      </c>
      <c r="K4" s="397"/>
      <c r="L4" s="399"/>
      <c r="M4" s="399"/>
      <c r="N4" s="399"/>
      <c r="O4" s="37"/>
      <c r="P4" s="2" t="s">
        <v>133</v>
      </c>
      <c r="Q4" t="s">
        <v>134</v>
      </c>
    </row>
    <row r="5" spans="2:17" x14ac:dyDescent="0.25">
      <c r="B5" s="302"/>
      <c r="C5" s="35">
        <v>2</v>
      </c>
      <c r="D5" s="35">
        <v>1</v>
      </c>
      <c r="E5" s="35">
        <v>0</v>
      </c>
      <c r="F5" s="35">
        <v>0</v>
      </c>
      <c r="G5" s="35">
        <v>0</v>
      </c>
      <c r="H5" s="35" t="s">
        <v>131</v>
      </c>
      <c r="I5" s="35">
        <v>91</v>
      </c>
      <c r="J5" s="35">
        <v>91</v>
      </c>
      <c r="K5" s="397"/>
      <c r="L5" s="399"/>
      <c r="M5" s="399"/>
      <c r="N5" s="399"/>
    </row>
    <row r="6" spans="2:17" x14ac:dyDescent="0.25">
      <c r="B6" s="302"/>
      <c r="C6" s="35">
        <v>3</v>
      </c>
      <c r="D6" s="35">
        <v>1</v>
      </c>
      <c r="E6" s="35">
        <v>0</v>
      </c>
      <c r="F6" s="35">
        <v>0</v>
      </c>
      <c r="G6" s="35">
        <v>0</v>
      </c>
      <c r="H6" s="35" t="s">
        <v>131</v>
      </c>
      <c r="I6" s="35">
        <v>182</v>
      </c>
      <c r="J6" s="35">
        <v>91</v>
      </c>
      <c r="K6" s="397"/>
      <c r="L6" s="399"/>
      <c r="M6" s="399"/>
      <c r="N6" s="399"/>
      <c r="O6" s="38"/>
      <c r="P6" s="2" t="s">
        <v>133</v>
      </c>
      <c r="Q6" t="s">
        <v>135</v>
      </c>
    </row>
    <row r="7" spans="2:17" x14ac:dyDescent="0.25">
      <c r="B7" s="302"/>
      <c r="C7" s="43" t="s">
        <v>984</v>
      </c>
      <c r="D7" s="43" t="s">
        <v>984</v>
      </c>
      <c r="E7" s="43" t="s">
        <v>984</v>
      </c>
      <c r="F7" s="43" t="s">
        <v>984</v>
      </c>
      <c r="G7" s="43" t="s">
        <v>984</v>
      </c>
      <c r="H7" s="43" t="s">
        <v>984</v>
      </c>
      <c r="I7" s="43" t="s">
        <v>984</v>
      </c>
      <c r="J7" s="43" t="s">
        <v>984</v>
      </c>
      <c r="K7" s="397"/>
      <c r="L7" s="399"/>
      <c r="M7" s="399"/>
      <c r="N7" s="399"/>
      <c r="P7" s="45"/>
    </row>
    <row r="8" spans="2:17" x14ac:dyDescent="0.25">
      <c r="B8" s="302"/>
      <c r="C8" s="35">
        <v>40</v>
      </c>
      <c r="D8" s="35">
        <v>1</v>
      </c>
      <c r="E8" s="35">
        <v>0</v>
      </c>
      <c r="F8" s="35">
        <v>13</v>
      </c>
      <c r="G8" s="35">
        <v>0</v>
      </c>
      <c r="H8" s="35" t="s">
        <v>131</v>
      </c>
      <c r="I8" s="35">
        <v>0</v>
      </c>
      <c r="J8" s="35">
        <v>91</v>
      </c>
      <c r="K8" s="397"/>
      <c r="L8" s="399"/>
      <c r="M8" s="399"/>
      <c r="N8" s="399"/>
      <c r="O8" s="48" t="s">
        <v>1028</v>
      </c>
      <c r="P8" s="45"/>
      <c r="Q8" s="48"/>
    </row>
    <row r="9" spans="2:17" x14ac:dyDescent="0.25">
      <c r="B9" s="302"/>
      <c r="C9" s="35">
        <v>41</v>
      </c>
      <c r="D9" s="35">
        <v>1</v>
      </c>
      <c r="E9" s="35">
        <v>0</v>
      </c>
      <c r="F9" s="35">
        <v>13</v>
      </c>
      <c r="G9" s="35">
        <v>0</v>
      </c>
      <c r="H9" s="35" t="s">
        <v>131</v>
      </c>
      <c r="I9" s="35">
        <v>91</v>
      </c>
      <c r="J9" s="35">
        <v>91</v>
      </c>
      <c r="K9" s="397"/>
      <c r="L9" s="399"/>
      <c r="M9" s="399"/>
      <c r="N9" s="399"/>
      <c r="P9" s="45"/>
    </row>
    <row r="10" spans="2:17" x14ac:dyDescent="0.25">
      <c r="B10" s="303"/>
      <c r="C10" s="35">
        <v>42</v>
      </c>
      <c r="D10" s="35">
        <v>1</v>
      </c>
      <c r="E10" s="35">
        <v>0</v>
      </c>
      <c r="F10" s="35">
        <v>13</v>
      </c>
      <c r="G10" s="35">
        <v>0</v>
      </c>
      <c r="H10" s="35" t="s">
        <v>131</v>
      </c>
      <c r="I10" s="35">
        <v>182</v>
      </c>
      <c r="J10" s="35">
        <v>91</v>
      </c>
      <c r="K10" s="326"/>
      <c r="L10" s="399"/>
      <c r="M10" s="399"/>
      <c r="N10" s="399"/>
      <c r="P10" s="45"/>
    </row>
    <row r="11" spans="2:17" x14ac:dyDescent="0.25">
      <c r="B11" s="305">
        <v>2</v>
      </c>
      <c r="C11" s="34">
        <v>1</v>
      </c>
      <c r="D11" s="34">
        <v>1</v>
      </c>
      <c r="E11" s="34">
        <v>0</v>
      </c>
      <c r="F11" s="34">
        <v>0</v>
      </c>
      <c r="G11" s="34">
        <v>0</v>
      </c>
      <c r="H11" s="34">
        <v>1</v>
      </c>
      <c r="I11" s="34">
        <v>0</v>
      </c>
      <c r="J11" s="34">
        <v>273</v>
      </c>
      <c r="K11" s="305" t="s">
        <v>1062</v>
      </c>
      <c r="L11" s="306" t="s">
        <v>982</v>
      </c>
      <c r="M11" s="306" t="s">
        <v>1063</v>
      </c>
      <c r="N11" s="306"/>
    </row>
    <row r="12" spans="2:17" x14ac:dyDescent="0.25">
      <c r="B12" s="305"/>
      <c r="C12" s="34">
        <v>2</v>
      </c>
      <c r="D12" s="34">
        <v>1</v>
      </c>
      <c r="E12" s="34">
        <v>0</v>
      </c>
      <c r="F12" s="34">
        <v>1</v>
      </c>
      <c r="G12" s="34">
        <v>0</v>
      </c>
      <c r="H12" s="34">
        <v>1</v>
      </c>
      <c r="I12" s="34">
        <v>0</v>
      </c>
      <c r="J12" s="34">
        <v>273</v>
      </c>
      <c r="K12" s="305"/>
      <c r="L12" s="306"/>
      <c r="M12" s="306"/>
      <c r="N12" s="306"/>
    </row>
    <row r="13" spans="2:17" x14ac:dyDescent="0.25">
      <c r="B13" s="305"/>
      <c r="C13" s="34" t="s">
        <v>984</v>
      </c>
      <c r="D13" s="34" t="s">
        <v>984</v>
      </c>
      <c r="E13" s="34" t="s">
        <v>984</v>
      </c>
      <c r="F13" s="34" t="s">
        <v>984</v>
      </c>
      <c r="G13" s="34" t="s">
        <v>984</v>
      </c>
      <c r="H13" s="34" t="s">
        <v>984</v>
      </c>
      <c r="I13" s="34" t="s">
        <v>984</v>
      </c>
      <c r="J13" s="34" t="s">
        <v>984</v>
      </c>
      <c r="K13" s="305"/>
      <c r="L13" s="306"/>
      <c r="M13" s="306"/>
      <c r="N13" s="306"/>
    </row>
    <row r="14" spans="2:17" x14ac:dyDescent="0.25">
      <c r="B14" s="305"/>
      <c r="C14" s="34">
        <v>14</v>
      </c>
      <c r="D14" s="34">
        <v>1</v>
      </c>
      <c r="E14" s="34">
        <v>0</v>
      </c>
      <c r="F14" s="34">
        <v>13</v>
      </c>
      <c r="G14" s="34">
        <v>0</v>
      </c>
      <c r="H14" s="34">
        <v>1</v>
      </c>
      <c r="I14" s="34">
        <v>0</v>
      </c>
      <c r="J14" s="34">
        <v>273</v>
      </c>
      <c r="K14" s="305"/>
      <c r="L14" s="306"/>
      <c r="M14" s="306"/>
      <c r="N14" s="306"/>
    </row>
    <row r="15" spans="2:17" x14ac:dyDescent="0.25">
      <c r="B15" s="305"/>
      <c r="C15" s="35">
        <v>1</v>
      </c>
      <c r="D15" s="35">
        <v>1</v>
      </c>
      <c r="E15" s="35">
        <v>0</v>
      </c>
      <c r="F15" s="35">
        <v>0</v>
      </c>
      <c r="G15" s="35">
        <v>0</v>
      </c>
      <c r="H15" s="35" t="s">
        <v>131</v>
      </c>
      <c r="I15" s="35">
        <v>0</v>
      </c>
      <c r="J15" s="35">
        <v>91</v>
      </c>
      <c r="K15" s="305"/>
      <c r="L15" s="306"/>
      <c r="M15" s="306"/>
      <c r="N15" s="306"/>
    </row>
    <row r="16" spans="2:17" x14ac:dyDescent="0.25">
      <c r="B16" s="305"/>
      <c r="C16" s="35">
        <v>2</v>
      </c>
      <c r="D16" s="35">
        <v>1</v>
      </c>
      <c r="E16" s="35">
        <v>0</v>
      </c>
      <c r="F16" s="35">
        <v>0</v>
      </c>
      <c r="G16" s="35">
        <v>0</v>
      </c>
      <c r="H16" s="35" t="s">
        <v>131</v>
      </c>
      <c r="I16" s="35">
        <v>91</v>
      </c>
      <c r="J16" s="35">
        <v>91</v>
      </c>
      <c r="K16" s="305"/>
      <c r="L16" s="306"/>
      <c r="M16" s="306"/>
      <c r="N16" s="306"/>
    </row>
    <row r="17" spans="2:14" x14ac:dyDescent="0.25">
      <c r="B17" s="305"/>
      <c r="C17" s="35">
        <v>3</v>
      </c>
      <c r="D17" s="35">
        <v>1</v>
      </c>
      <c r="E17" s="35">
        <v>0</v>
      </c>
      <c r="F17" s="35">
        <v>0</v>
      </c>
      <c r="G17" s="35">
        <v>0</v>
      </c>
      <c r="H17" s="35" t="s">
        <v>131</v>
      </c>
      <c r="I17" s="35">
        <v>182</v>
      </c>
      <c r="J17" s="35">
        <v>91</v>
      </c>
      <c r="K17" s="305"/>
      <c r="L17" s="306"/>
      <c r="M17" s="306"/>
      <c r="N17" s="306"/>
    </row>
    <row r="18" spans="2:14" x14ac:dyDescent="0.25">
      <c r="B18" s="305"/>
      <c r="C18" s="43" t="s">
        <v>984</v>
      </c>
      <c r="D18" s="43" t="s">
        <v>984</v>
      </c>
      <c r="E18" s="43" t="s">
        <v>984</v>
      </c>
      <c r="F18" s="43" t="s">
        <v>984</v>
      </c>
      <c r="G18" s="43" t="s">
        <v>984</v>
      </c>
      <c r="H18" s="43" t="s">
        <v>984</v>
      </c>
      <c r="I18" s="43" t="s">
        <v>984</v>
      </c>
      <c r="J18" s="43" t="s">
        <v>984</v>
      </c>
      <c r="K18" s="305"/>
      <c r="L18" s="306"/>
      <c r="M18" s="306"/>
      <c r="N18" s="306"/>
    </row>
    <row r="19" spans="2:14" x14ac:dyDescent="0.25">
      <c r="B19" s="305"/>
      <c r="C19" s="35">
        <v>40</v>
      </c>
      <c r="D19" s="35">
        <v>1</v>
      </c>
      <c r="E19" s="35">
        <v>0</v>
      </c>
      <c r="F19" s="35">
        <v>13</v>
      </c>
      <c r="G19" s="35">
        <v>0</v>
      </c>
      <c r="H19" s="35" t="s">
        <v>131</v>
      </c>
      <c r="I19" s="35">
        <v>0</v>
      </c>
      <c r="J19" s="35">
        <v>91</v>
      </c>
      <c r="K19" s="305"/>
      <c r="L19" s="306"/>
      <c r="M19" s="306"/>
      <c r="N19" s="306"/>
    </row>
    <row r="20" spans="2:14" x14ac:dyDescent="0.25">
      <c r="B20" s="305"/>
      <c r="C20" s="35">
        <v>41</v>
      </c>
      <c r="D20" s="35">
        <v>1</v>
      </c>
      <c r="E20" s="35">
        <v>0</v>
      </c>
      <c r="F20" s="35">
        <v>13</v>
      </c>
      <c r="G20" s="35">
        <v>0</v>
      </c>
      <c r="H20" s="35" t="s">
        <v>131</v>
      </c>
      <c r="I20" s="35">
        <v>91</v>
      </c>
      <c r="J20" s="35">
        <v>91</v>
      </c>
      <c r="K20" s="305"/>
      <c r="L20" s="306"/>
      <c r="M20" s="306"/>
      <c r="N20" s="306"/>
    </row>
    <row r="21" spans="2:14" x14ac:dyDescent="0.25">
      <c r="B21" s="305"/>
      <c r="C21" s="35">
        <v>42</v>
      </c>
      <c r="D21" s="35">
        <v>1</v>
      </c>
      <c r="E21" s="35">
        <v>0</v>
      </c>
      <c r="F21" s="35">
        <v>13</v>
      </c>
      <c r="G21" s="35">
        <v>0</v>
      </c>
      <c r="H21" s="35" t="s">
        <v>131</v>
      </c>
      <c r="I21" s="35">
        <v>182</v>
      </c>
      <c r="J21" s="35">
        <v>91</v>
      </c>
      <c r="K21" s="305"/>
      <c r="L21" s="306"/>
      <c r="M21" s="306"/>
      <c r="N21" s="306"/>
    </row>
    <row r="22" spans="2:14" x14ac:dyDescent="0.25">
      <c r="B22" s="305">
        <v>3</v>
      </c>
      <c r="C22" s="310">
        <v>1</v>
      </c>
      <c r="D22" s="310">
        <v>21</v>
      </c>
      <c r="E22" s="34">
        <v>0</v>
      </c>
      <c r="F22" s="34">
        <v>0</v>
      </c>
      <c r="G22" s="34">
        <v>0</v>
      </c>
      <c r="H22" s="34">
        <v>14</v>
      </c>
      <c r="I22" s="34">
        <v>0</v>
      </c>
      <c r="J22" s="34">
        <v>13</v>
      </c>
      <c r="K22" s="306" t="s">
        <v>1064</v>
      </c>
      <c r="L22" s="306" t="s">
        <v>986</v>
      </c>
      <c r="M22" s="306" t="s">
        <v>1065</v>
      </c>
      <c r="N22" s="306"/>
    </row>
    <row r="23" spans="2:14" x14ac:dyDescent="0.25">
      <c r="B23" s="305"/>
      <c r="C23" s="311"/>
      <c r="D23" s="311"/>
      <c r="E23" s="34">
        <v>1</v>
      </c>
      <c r="F23" s="34">
        <v>0</v>
      </c>
      <c r="G23" s="34">
        <v>0</v>
      </c>
      <c r="H23" s="34">
        <v>14</v>
      </c>
      <c r="I23" s="34">
        <v>13</v>
      </c>
      <c r="J23" s="34">
        <v>13</v>
      </c>
      <c r="K23" s="305"/>
      <c r="L23" s="306"/>
      <c r="M23" s="306"/>
      <c r="N23" s="306"/>
    </row>
    <row r="24" spans="2:14" x14ac:dyDescent="0.25">
      <c r="B24" s="305"/>
      <c r="C24" s="311"/>
      <c r="D24" s="311"/>
      <c r="E24" s="34" t="s">
        <v>984</v>
      </c>
      <c r="F24" s="34" t="s">
        <v>984</v>
      </c>
      <c r="G24" s="34" t="s">
        <v>984</v>
      </c>
      <c r="H24" s="34" t="s">
        <v>984</v>
      </c>
      <c r="I24" s="34" t="s">
        <v>984</v>
      </c>
      <c r="J24" s="34" t="s">
        <v>984</v>
      </c>
      <c r="K24" s="305"/>
      <c r="L24" s="306"/>
      <c r="M24" s="306"/>
      <c r="N24" s="306"/>
    </row>
    <row r="25" spans="2:14" x14ac:dyDescent="0.25">
      <c r="B25" s="305"/>
      <c r="C25" s="312"/>
      <c r="D25" s="312"/>
      <c r="E25" s="34">
        <v>20</v>
      </c>
      <c r="F25" s="34">
        <v>0</v>
      </c>
      <c r="G25" s="34">
        <v>0</v>
      </c>
      <c r="H25" s="34">
        <v>14</v>
      </c>
      <c r="I25" s="34">
        <v>260</v>
      </c>
      <c r="J25" s="34">
        <v>13</v>
      </c>
      <c r="K25" s="305"/>
      <c r="L25" s="306"/>
      <c r="M25" s="306"/>
      <c r="N25" s="306"/>
    </row>
    <row r="26" spans="2:14" x14ac:dyDescent="0.25">
      <c r="B26" s="305"/>
      <c r="C26" s="315">
        <v>1</v>
      </c>
      <c r="D26" s="315">
        <v>7</v>
      </c>
      <c r="E26" s="35">
        <v>0</v>
      </c>
      <c r="F26" s="35">
        <v>0</v>
      </c>
      <c r="G26" s="35">
        <v>0</v>
      </c>
      <c r="H26" s="35" t="s">
        <v>131</v>
      </c>
      <c r="I26" s="35">
        <v>0</v>
      </c>
      <c r="J26" s="35">
        <v>13</v>
      </c>
      <c r="K26" s="305"/>
      <c r="L26" s="306"/>
      <c r="M26" s="306"/>
      <c r="N26" s="306"/>
    </row>
    <row r="27" spans="2:14" x14ac:dyDescent="0.25">
      <c r="B27" s="305"/>
      <c r="C27" s="318"/>
      <c r="D27" s="318"/>
      <c r="E27" s="43" t="s">
        <v>984</v>
      </c>
      <c r="F27" s="43" t="s">
        <v>984</v>
      </c>
      <c r="G27" s="43" t="s">
        <v>984</v>
      </c>
      <c r="H27" s="43" t="s">
        <v>984</v>
      </c>
      <c r="I27" s="43" t="s">
        <v>984</v>
      </c>
      <c r="J27" s="43" t="s">
        <v>984</v>
      </c>
      <c r="K27" s="305"/>
      <c r="L27" s="306"/>
      <c r="M27" s="306"/>
      <c r="N27" s="306"/>
    </row>
    <row r="28" spans="2:14" x14ac:dyDescent="0.25">
      <c r="B28" s="305"/>
      <c r="C28" s="316"/>
      <c r="D28" s="316"/>
      <c r="E28" s="35">
        <v>6</v>
      </c>
      <c r="F28" s="35">
        <v>0</v>
      </c>
      <c r="G28" s="35">
        <v>0</v>
      </c>
      <c r="H28" s="35" t="s">
        <v>131</v>
      </c>
      <c r="I28" s="35">
        <v>78</v>
      </c>
      <c r="J28" s="35">
        <v>13</v>
      </c>
      <c r="K28" s="305"/>
      <c r="L28" s="306"/>
      <c r="M28" s="306"/>
      <c r="N28" s="306"/>
    </row>
    <row r="29" spans="2:14" x14ac:dyDescent="0.25">
      <c r="B29" s="305"/>
      <c r="C29" s="43" t="s">
        <v>984</v>
      </c>
      <c r="D29" s="43" t="s">
        <v>984</v>
      </c>
      <c r="E29" s="43" t="s">
        <v>984</v>
      </c>
      <c r="F29" s="43" t="s">
        <v>984</v>
      </c>
      <c r="G29" s="43" t="s">
        <v>984</v>
      </c>
      <c r="H29" s="43" t="s">
        <v>984</v>
      </c>
      <c r="I29" s="43" t="s">
        <v>984</v>
      </c>
      <c r="J29" s="43" t="s">
        <v>984</v>
      </c>
      <c r="K29" s="305"/>
      <c r="L29" s="306"/>
      <c r="M29" s="306"/>
      <c r="N29" s="306"/>
    </row>
    <row r="30" spans="2:14" x14ac:dyDescent="0.25">
      <c r="B30" s="305"/>
      <c r="C30" s="315">
        <v>3</v>
      </c>
      <c r="D30" s="315">
        <v>7</v>
      </c>
      <c r="E30" s="35">
        <v>14</v>
      </c>
      <c r="F30" s="35">
        <v>0</v>
      </c>
      <c r="G30" s="35">
        <v>0</v>
      </c>
      <c r="H30" s="35" t="s">
        <v>131</v>
      </c>
      <c r="I30" s="35">
        <v>182</v>
      </c>
      <c r="J30" s="35">
        <v>13</v>
      </c>
      <c r="K30" s="305"/>
      <c r="L30" s="306"/>
      <c r="M30" s="306"/>
      <c r="N30" s="306"/>
    </row>
    <row r="31" spans="2:14" x14ac:dyDescent="0.25">
      <c r="B31" s="305"/>
      <c r="C31" s="318"/>
      <c r="D31" s="318"/>
      <c r="E31" s="43" t="s">
        <v>984</v>
      </c>
      <c r="F31" s="43" t="s">
        <v>984</v>
      </c>
      <c r="G31" s="43" t="s">
        <v>984</v>
      </c>
      <c r="H31" s="43" t="s">
        <v>984</v>
      </c>
      <c r="I31" s="43" t="s">
        <v>984</v>
      </c>
      <c r="J31" s="43" t="s">
        <v>984</v>
      </c>
      <c r="K31" s="305"/>
      <c r="L31" s="306"/>
      <c r="M31" s="306"/>
      <c r="N31" s="306"/>
    </row>
    <row r="32" spans="2:14" x14ac:dyDescent="0.25">
      <c r="B32" s="305"/>
      <c r="C32" s="316"/>
      <c r="D32" s="316"/>
      <c r="E32" s="35">
        <v>20</v>
      </c>
      <c r="F32" s="35">
        <v>0</v>
      </c>
      <c r="G32" s="35">
        <v>0</v>
      </c>
      <c r="H32" s="35" t="s">
        <v>131</v>
      </c>
      <c r="I32" s="35">
        <v>260</v>
      </c>
      <c r="J32" s="35">
        <v>13</v>
      </c>
      <c r="K32" s="305"/>
      <c r="L32" s="306"/>
      <c r="M32" s="306"/>
      <c r="N32" s="306"/>
    </row>
    <row r="33" spans="2:14" x14ac:dyDescent="0.25">
      <c r="B33" s="305">
        <v>4</v>
      </c>
      <c r="C33" s="310">
        <v>1</v>
      </c>
      <c r="D33" s="310">
        <v>21</v>
      </c>
      <c r="E33" s="34">
        <v>0</v>
      </c>
      <c r="F33" s="34">
        <v>0</v>
      </c>
      <c r="G33" s="34">
        <v>0</v>
      </c>
      <c r="H33" s="34">
        <v>1</v>
      </c>
      <c r="I33" s="34">
        <v>0</v>
      </c>
      <c r="J33" s="34">
        <v>13</v>
      </c>
      <c r="K33" s="306" t="s">
        <v>1066</v>
      </c>
      <c r="L33" s="306" t="s">
        <v>988</v>
      </c>
      <c r="M33" s="306" t="s">
        <v>1067</v>
      </c>
      <c r="N33" s="306"/>
    </row>
    <row r="34" spans="2:14" x14ac:dyDescent="0.25">
      <c r="B34" s="305"/>
      <c r="C34" s="311"/>
      <c r="D34" s="311"/>
      <c r="E34" s="34">
        <v>1</v>
      </c>
      <c r="F34" s="34">
        <v>0</v>
      </c>
      <c r="G34" s="34">
        <v>0</v>
      </c>
      <c r="H34" s="34">
        <v>1</v>
      </c>
      <c r="I34" s="34">
        <v>13</v>
      </c>
      <c r="J34" s="34">
        <v>13</v>
      </c>
      <c r="K34" s="305"/>
      <c r="L34" s="306"/>
      <c r="M34" s="306"/>
      <c r="N34" s="306"/>
    </row>
    <row r="35" spans="2:14" x14ac:dyDescent="0.25">
      <c r="B35" s="305"/>
      <c r="C35" s="311"/>
      <c r="D35" s="311"/>
      <c r="E35" s="34" t="s">
        <v>984</v>
      </c>
      <c r="F35" s="34" t="s">
        <v>984</v>
      </c>
      <c r="G35" s="34" t="s">
        <v>984</v>
      </c>
      <c r="H35" s="34" t="s">
        <v>984</v>
      </c>
      <c r="I35" s="34" t="s">
        <v>984</v>
      </c>
      <c r="J35" s="34" t="s">
        <v>984</v>
      </c>
      <c r="K35" s="305"/>
      <c r="L35" s="306"/>
      <c r="M35" s="306"/>
      <c r="N35" s="306"/>
    </row>
    <row r="36" spans="2:14" x14ac:dyDescent="0.25">
      <c r="B36" s="305"/>
      <c r="C36" s="312"/>
      <c r="D36" s="312"/>
      <c r="E36" s="34">
        <v>20</v>
      </c>
      <c r="F36" s="34">
        <v>0</v>
      </c>
      <c r="G36" s="34">
        <v>0</v>
      </c>
      <c r="H36" s="34">
        <v>1</v>
      </c>
      <c r="I36" s="34">
        <v>260</v>
      </c>
      <c r="J36" s="34">
        <v>13</v>
      </c>
      <c r="K36" s="305"/>
      <c r="L36" s="306"/>
      <c r="M36" s="306"/>
      <c r="N36" s="306"/>
    </row>
    <row r="37" spans="2:14" x14ac:dyDescent="0.25">
      <c r="B37" s="305"/>
      <c r="C37" s="310">
        <v>2</v>
      </c>
      <c r="D37" s="310">
        <v>21</v>
      </c>
      <c r="E37" s="34">
        <v>0</v>
      </c>
      <c r="F37" s="34">
        <v>1</v>
      </c>
      <c r="G37" s="34">
        <v>0</v>
      </c>
      <c r="H37" s="34">
        <v>1</v>
      </c>
      <c r="I37" s="34">
        <v>0</v>
      </c>
      <c r="J37" s="34">
        <v>13</v>
      </c>
      <c r="K37" s="305"/>
      <c r="L37" s="306"/>
      <c r="M37" s="306"/>
      <c r="N37" s="306"/>
    </row>
    <row r="38" spans="2:14" x14ac:dyDescent="0.25">
      <c r="B38" s="305"/>
      <c r="C38" s="311"/>
      <c r="D38" s="311"/>
      <c r="E38" s="34">
        <v>1</v>
      </c>
      <c r="F38" s="34">
        <v>1</v>
      </c>
      <c r="G38" s="34">
        <v>0</v>
      </c>
      <c r="H38" s="34">
        <v>1</v>
      </c>
      <c r="I38" s="34">
        <v>13</v>
      </c>
      <c r="J38" s="34">
        <v>13</v>
      </c>
      <c r="K38" s="305"/>
      <c r="L38" s="306"/>
      <c r="M38" s="306"/>
      <c r="N38" s="306"/>
    </row>
    <row r="39" spans="2:14" x14ac:dyDescent="0.25">
      <c r="B39" s="305"/>
      <c r="C39" s="311"/>
      <c r="D39" s="311"/>
      <c r="E39" s="34" t="s">
        <v>984</v>
      </c>
      <c r="F39" s="34" t="s">
        <v>984</v>
      </c>
      <c r="G39" s="34" t="s">
        <v>984</v>
      </c>
      <c r="H39" s="34" t="s">
        <v>984</v>
      </c>
      <c r="I39" s="34" t="s">
        <v>984</v>
      </c>
      <c r="J39" s="34" t="s">
        <v>984</v>
      </c>
      <c r="K39" s="305"/>
      <c r="L39" s="306"/>
      <c r="M39" s="306"/>
      <c r="N39" s="306"/>
    </row>
    <row r="40" spans="2:14" x14ac:dyDescent="0.25">
      <c r="B40" s="305"/>
      <c r="C40" s="312"/>
      <c r="D40" s="312"/>
      <c r="E40" s="34">
        <v>20</v>
      </c>
      <c r="F40" s="34">
        <v>1</v>
      </c>
      <c r="G40" s="34">
        <v>0</v>
      </c>
      <c r="H40" s="34">
        <v>1</v>
      </c>
      <c r="I40" s="34">
        <v>260</v>
      </c>
      <c r="J40" s="34">
        <v>13</v>
      </c>
      <c r="K40" s="305"/>
      <c r="L40" s="306"/>
      <c r="M40" s="306"/>
      <c r="N40" s="306"/>
    </row>
    <row r="41" spans="2:14" x14ac:dyDescent="0.25">
      <c r="B41" s="305"/>
      <c r="C41" s="34" t="s">
        <v>984</v>
      </c>
      <c r="D41" s="34" t="s">
        <v>984</v>
      </c>
      <c r="E41" s="34" t="s">
        <v>984</v>
      </c>
      <c r="F41" s="34" t="s">
        <v>984</v>
      </c>
      <c r="G41" s="34" t="s">
        <v>984</v>
      </c>
      <c r="H41" s="34" t="s">
        <v>984</v>
      </c>
      <c r="I41" s="34" t="s">
        <v>984</v>
      </c>
      <c r="J41" s="34" t="s">
        <v>984</v>
      </c>
      <c r="K41" s="305"/>
      <c r="L41" s="306"/>
      <c r="M41" s="306"/>
      <c r="N41" s="306"/>
    </row>
    <row r="42" spans="2:14" x14ac:dyDescent="0.25">
      <c r="B42" s="305"/>
      <c r="C42" s="310">
        <v>14</v>
      </c>
      <c r="D42" s="310">
        <v>21</v>
      </c>
      <c r="E42" s="34">
        <v>0</v>
      </c>
      <c r="F42" s="34">
        <v>13</v>
      </c>
      <c r="G42" s="34">
        <v>0</v>
      </c>
      <c r="H42" s="34">
        <v>1</v>
      </c>
      <c r="I42" s="34">
        <v>0</v>
      </c>
      <c r="J42" s="34">
        <v>13</v>
      </c>
      <c r="K42" s="305"/>
      <c r="L42" s="306"/>
      <c r="M42" s="306"/>
      <c r="N42" s="306"/>
    </row>
    <row r="43" spans="2:14" x14ac:dyDescent="0.25">
      <c r="B43" s="305"/>
      <c r="C43" s="311"/>
      <c r="D43" s="311"/>
      <c r="E43" s="34">
        <v>1</v>
      </c>
      <c r="F43" s="34">
        <v>13</v>
      </c>
      <c r="G43" s="34">
        <v>0</v>
      </c>
      <c r="H43" s="34">
        <v>1</v>
      </c>
      <c r="I43" s="34">
        <v>13</v>
      </c>
      <c r="J43" s="34">
        <v>13</v>
      </c>
      <c r="K43" s="305"/>
      <c r="L43" s="306"/>
      <c r="M43" s="306"/>
      <c r="N43" s="306"/>
    </row>
    <row r="44" spans="2:14" x14ac:dyDescent="0.25">
      <c r="B44" s="305"/>
      <c r="C44" s="311"/>
      <c r="D44" s="311"/>
      <c r="E44" s="34" t="s">
        <v>984</v>
      </c>
      <c r="F44" s="34" t="s">
        <v>984</v>
      </c>
      <c r="G44" s="34" t="s">
        <v>984</v>
      </c>
      <c r="H44" s="34" t="s">
        <v>984</v>
      </c>
      <c r="I44" s="34" t="s">
        <v>984</v>
      </c>
      <c r="J44" s="34" t="s">
        <v>984</v>
      </c>
      <c r="K44" s="305"/>
      <c r="L44" s="306"/>
      <c r="M44" s="306"/>
      <c r="N44" s="306"/>
    </row>
    <row r="45" spans="2:14" x14ac:dyDescent="0.25">
      <c r="B45" s="305"/>
      <c r="C45" s="312"/>
      <c r="D45" s="312"/>
      <c r="E45" s="34">
        <v>20</v>
      </c>
      <c r="F45" s="34">
        <v>13</v>
      </c>
      <c r="G45" s="34">
        <v>0</v>
      </c>
      <c r="H45" s="34">
        <v>1</v>
      </c>
      <c r="I45" s="34">
        <v>260</v>
      </c>
      <c r="J45" s="34">
        <v>13</v>
      </c>
      <c r="K45" s="305"/>
      <c r="L45" s="306"/>
      <c r="M45" s="306"/>
      <c r="N45" s="306"/>
    </row>
    <row r="46" spans="2:14" x14ac:dyDescent="0.25">
      <c r="B46" s="305"/>
      <c r="C46" s="315">
        <v>1</v>
      </c>
      <c r="D46" s="315">
        <v>7</v>
      </c>
      <c r="E46" s="35">
        <v>0</v>
      </c>
      <c r="F46" s="35">
        <v>0</v>
      </c>
      <c r="G46" s="35">
        <v>0</v>
      </c>
      <c r="H46" s="35" t="s">
        <v>131</v>
      </c>
      <c r="I46" s="35">
        <v>0</v>
      </c>
      <c r="J46" s="35">
        <v>13</v>
      </c>
      <c r="K46" s="305"/>
      <c r="L46" s="306"/>
      <c r="M46" s="306"/>
      <c r="N46" s="306"/>
    </row>
    <row r="47" spans="2:14" x14ac:dyDescent="0.25">
      <c r="B47" s="305"/>
      <c r="C47" s="318"/>
      <c r="D47" s="318"/>
      <c r="E47" s="43" t="s">
        <v>984</v>
      </c>
      <c r="F47" s="43" t="s">
        <v>984</v>
      </c>
      <c r="G47" s="43" t="s">
        <v>984</v>
      </c>
      <c r="H47" s="43" t="s">
        <v>984</v>
      </c>
      <c r="I47" s="43" t="s">
        <v>984</v>
      </c>
      <c r="J47" s="43" t="s">
        <v>984</v>
      </c>
      <c r="K47" s="305"/>
      <c r="L47" s="306"/>
      <c r="M47" s="306"/>
      <c r="N47" s="306"/>
    </row>
    <row r="48" spans="2:14" x14ac:dyDescent="0.25">
      <c r="B48" s="305"/>
      <c r="C48" s="316"/>
      <c r="D48" s="316"/>
      <c r="E48" s="35">
        <v>6</v>
      </c>
      <c r="F48" s="35">
        <v>0</v>
      </c>
      <c r="G48" s="35">
        <v>0</v>
      </c>
      <c r="H48" s="35" t="s">
        <v>131</v>
      </c>
      <c r="I48" s="35">
        <v>78</v>
      </c>
      <c r="J48" s="35">
        <v>13</v>
      </c>
      <c r="K48" s="305"/>
      <c r="L48" s="306"/>
      <c r="M48" s="306"/>
      <c r="N48" s="306"/>
    </row>
    <row r="49" spans="2:14" x14ac:dyDescent="0.25">
      <c r="B49" s="305"/>
      <c r="C49" s="43" t="s">
        <v>984</v>
      </c>
      <c r="D49" s="43" t="s">
        <v>984</v>
      </c>
      <c r="E49" s="43" t="s">
        <v>984</v>
      </c>
      <c r="F49" s="43" t="s">
        <v>984</v>
      </c>
      <c r="G49" s="43" t="s">
        <v>984</v>
      </c>
      <c r="H49" s="43" t="s">
        <v>984</v>
      </c>
      <c r="I49" s="43" t="s">
        <v>984</v>
      </c>
      <c r="J49" s="43" t="s">
        <v>984</v>
      </c>
      <c r="K49" s="305"/>
      <c r="L49" s="306"/>
      <c r="M49" s="306"/>
      <c r="N49" s="306"/>
    </row>
    <row r="50" spans="2:14" x14ac:dyDescent="0.25">
      <c r="B50" s="305"/>
      <c r="C50" s="315">
        <v>3</v>
      </c>
      <c r="D50" s="315">
        <v>7</v>
      </c>
      <c r="E50" s="35">
        <v>14</v>
      </c>
      <c r="F50" s="35">
        <v>0</v>
      </c>
      <c r="G50" s="35">
        <v>0</v>
      </c>
      <c r="H50" s="35" t="s">
        <v>131</v>
      </c>
      <c r="I50" s="35">
        <v>182</v>
      </c>
      <c r="J50" s="35">
        <v>13</v>
      </c>
      <c r="K50" s="305"/>
      <c r="L50" s="306"/>
      <c r="M50" s="306"/>
      <c r="N50" s="306"/>
    </row>
    <row r="51" spans="2:14" x14ac:dyDescent="0.25">
      <c r="B51" s="305"/>
      <c r="C51" s="318"/>
      <c r="D51" s="318"/>
      <c r="E51" s="43" t="s">
        <v>984</v>
      </c>
      <c r="F51" s="43" t="s">
        <v>984</v>
      </c>
      <c r="G51" s="43" t="s">
        <v>984</v>
      </c>
      <c r="H51" s="43" t="s">
        <v>984</v>
      </c>
      <c r="I51" s="43" t="s">
        <v>984</v>
      </c>
      <c r="J51" s="43" t="s">
        <v>984</v>
      </c>
      <c r="K51" s="305"/>
      <c r="L51" s="306"/>
      <c r="M51" s="306"/>
      <c r="N51" s="306"/>
    </row>
    <row r="52" spans="2:14" x14ac:dyDescent="0.25">
      <c r="B52" s="305"/>
      <c r="C52" s="316"/>
      <c r="D52" s="316"/>
      <c r="E52" s="35">
        <v>20</v>
      </c>
      <c r="F52" s="35">
        <v>0</v>
      </c>
      <c r="G52" s="35">
        <v>0</v>
      </c>
      <c r="H52" s="35" t="s">
        <v>131</v>
      </c>
      <c r="I52" s="35">
        <v>260</v>
      </c>
      <c r="J52" s="35">
        <v>13</v>
      </c>
      <c r="K52" s="305"/>
      <c r="L52" s="306"/>
      <c r="M52" s="306"/>
      <c r="N52" s="306"/>
    </row>
    <row r="53" spans="2:14" x14ac:dyDescent="0.25">
      <c r="B53" s="305">
        <v>5</v>
      </c>
      <c r="C53" s="310">
        <v>1</v>
      </c>
      <c r="D53" s="310">
        <v>7</v>
      </c>
      <c r="E53" s="34">
        <v>0</v>
      </c>
      <c r="F53" s="34">
        <v>0</v>
      </c>
      <c r="G53" s="34">
        <v>1</v>
      </c>
      <c r="H53" s="34">
        <v>2</v>
      </c>
      <c r="I53" s="34">
        <v>0</v>
      </c>
      <c r="J53" s="34">
        <v>273</v>
      </c>
      <c r="K53" s="306" t="s">
        <v>1068</v>
      </c>
      <c r="L53" s="306" t="s">
        <v>991</v>
      </c>
      <c r="M53" s="306" t="s">
        <v>1069</v>
      </c>
      <c r="N53" s="306"/>
    </row>
    <row r="54" spans="2:14" x14ac:dyDescent="0.25">
      <c r="B54" s="305"/>
      <c r="C54" s="311"/>
      <c r="D54" s="311"/>
      <c r="E54" s="34">
        <v>1</v>
      </c>
      <c r="F54" s="34">
        <v>2</v>
      </c>
      <c r="G54" s="34">
        <v>1</v>
      </c>
      <c r="H54" s="34">
        <v>2</v>
      </c>
      <c r="I54" s="34">
        <v>0</v>
      </c>
      <c r="J54" s="34">
        <v>273</v>
      </c>
      <c r="K54" s="305"/>
      <c r="L54" s="306"/>
      <c r="M54" s="306"/>
      <c r="N54" s="306"/>
    </row>
    <row r="55" spans="2:14" x14ac:dyDescent="0.25">
      <c r="B55" s="305"/>
      <c r="C55" s="311"/>
      <c r="D55" s="311"/>
      <c r="E55" s="34" t="s">
        <v>984</v>
      </c>
      <c r="F55" s="34" t="s">
        <v>984</v>
      </c>
      <c r="G55" s="34" t="s">
        <v>984</v>
      </c>
      <c r="H55" s="34" t="s">
        <v>984</v>
      </c>
      <c r="I55" s="34" t="s">
        <v>984</v>
      </c>
      <c r="J55" s="34" t="s">
        <v>984</v>
      </c>
      <c r="K55" s="305"/>
      <c r="L55" s="306"/>
      <c r="M55" s="306"/>
      <c r="N55" s="306"/>
    </row>
    <row r="56" spans="2:14" x14ac:dyDescent="0.25">
      <c r="B56" s="305"/>
      <c r="C56" s="312"/>
      <c r="D56" s="312"/>
      <c r="E56" s="34">
        <v>6</v>
      </c>
      <c r="F56" s="34">
        <v>12</v>
      </c>
      <c r="G56" s="34">
        <v>1</v>
      </c>
      <c r="H56" s="34">
        <v>2</v>
      </c>
      <c r="I56" s="34">
        <v>0</v>
      </c>
      <c r="J56" s="34">
        <v>273</v>
      </c>
      <c r="K56" s="305"/>
      <c r="L56" s="306"/>
      <c r="M56" s="306"/>
      <c r="N56" s="306"/>
    </row>
    <row r="57" spans="2:14" x14ac:dyDescent="0.25">
      <c r="B57" s="305"/>
      <c r="C57" s="35">
        <v>1</v>
      </c>
      <c r="D57" s="35">
        <v>1</v>
      </c>
      <c r="E57" s="35">
        <v>0</v>
      </c>
      <c r="F57" s="35">
        <v>0</v>
      </c>
      <c r="G57" s="35">
        <v>0</v>
      </c>
      <c r="H57" s="35" t="s">
        <v>131</v>
      </c>
      <c r="I57" s="35">
        <v>0</v>
      </c>
      <c r="J57" s="35">
        <v>91</v>
      </c>
      <c r="K57" s="305"/>
      <c r="L57" s="306"/>
      <c r="M57" s="306"/>
      <c r="N57" s="306"/>
    </row>
    <row r="58" spans="2:14" x14ac:dyDescent="0.25">
      <c r="B58" s="305"/>
      <c r="C58" s="35">
        <v>2</v>
      </c>
      <c r="D58" s="35">
        <v>1</v>
      </c>
      <c r="E58" s="35">
        <v>0</v>
      </c>
      <c r="F58" s="35">
        <v>0</v>
      </c>
      <c r="G58" s="35">
        <v>0</v>
      </c>
      <c r="H58" s="35" t="s">
        <v>131</v>
      </c>
      <c r="I58" s="35">
        <v>91</v>
      </c>
      <c r="J58" s="35">
        <v>91</v>
      </c>
      <c r="K58" s="305"/>
      <c r="L58" s="306"/>
      <c r="M58" s="306"/>
      <c r="N58" s="306"/>
    </row>
    <row r="59" spans="2:14" x14ac:dyDescent="0.25">
      <c r="B59" s="305"/>
      <c r="C59" s="35">
        <v>3</v>
      </c>
      <c r="D59" s="35">
        <v>1</v>
      </c>
      <c r="E59" s="35">
        <v>0</v>
      </c>
      <c r="F59" s="35">
        <v>0</v>
      </c>
      <c r="G59" s="35">
        <v>0</v>
      </c>
      <c r="H59" s="35" t="s">
        <v>131</v>
      </c>
      <c r="I59" s="35">
        <v>182</v>
      </c>
      <c r="J59" s="35">
        <v>91</v>
      </c>
      <c r="K59" s="305"/>
      <c r="L59" s="306"/>
      <c r="M59" s="306"/>
      <c r="N59" s="306"/>
    </row>
    <row r="60" spans="2:14" x14ac:dyDescent="0.25">
      <c r="B60" s="305"/>
      <c r="C60" s="43" t="s">
        <v>984</v>
      </c>
      <c r="D60" s="43" t="s">
        <v>984</v>
      </c>
      <c r="E60" s="43" t="s">
        <v>984</v>
      </c>
      <c r="F60" s="43" t="s">
        <v>984</v>
      </c>
      <c r="G60" s="43" t="s">
        <v>984</v>
      </c>
      <c r="H60" s="43" t="s">
        <v>984</v>
      </c>
      <c r="I60" s="43" t="s">
        <v>984</v>
      </c>
      <c r="J60" s="43" t="s">
        <v>984</v>
      </c>
      <c r="K60" s="305"/>
      <c r="L60" s="306"/>
      <c r="M60" s="306"/>
      <c r="N60" s="306"/>
    </row>
    <row r="61" spans="2:14" x14ac:dyDescent="0.25">
      <c r="B61" s="305"/>
      <c r="C61" s="35">
        <v>40</v>
      </c>
      <c r="D61" s="35">
        <v>1</v>
      </c>
      <c r="E61" s="35">
        <v>6</v>
      </c>
      <c r="F61" s="35">
        <v>13</v>
      </c>
      <c r="G61" s="35">
        <v>0</v>
      </c>
      <c r="H61" s="35" t="s">
        <v>131</v>
      </c>
      <c r="I61" s="35">
        <v>0</v>
      </c>
      <c r="J61" s="35">
        <v>91</v>
      </c>
      <c r="K61" s="305"/>
      <c r="L61" s="306"/>
      <c r="M61" s="306"/>
      <c r="N61" s="306"/>
    </row>
    <row r="62" spans="2:14" x14ac:dyDescent="0.25">
      <c r="B62" s="305"/>
      <c r="C62" s="35">
        <v>41</v>
      </c>
      <c r="D62" s="35">
        <v>1</v>
      </c>
      <c r="E62" s="35">
        <v>6</v>
      </c>
      <c r="F62" s="35">
        <v>13</v>
      </c>
      <c r="G62" s="35">
        <v>0</v>
      </c>
      <c r="H62" s="35" t="s">
        <v>131</v>
      </c>
      <c r="I62" s="35">
        <v>91</v>
      </c>
      <c r="J62" s="35">
        <v>91</v>
      </c>
      <c r="K62" s="305"/>
      <c r="L62" s="306"/>
      <c r="M62" s="306"/>
      <c r="N62" s="306"/>
    </row>
    <row r="63" spans="2:14" x14ac:dyDescent="0.25">
      <c r="B63" s="305"/>
      <c r="C63" s="35">
        <v>42</v>
      </c>
      <c r="D63" s="35">
        <v>1</v>
      </c>
      <c r="E63" s="35">
        <v>6</v>
      </c>
      <c r="F63" s="35">
        <v>13</v>
      </c>
      <c r="G63" s="35">
        <v>0</v>
      </c>
      <c r="H63" s="35" t="s">
        <v>131</v>
      </c>
      <c r="I63" s="35">
        <v>182</v>
      </c>
      <c r="J63" s="35">
        <v>91</v>
      </c>
      <c r="K63" s="305"/>
      <c r="L63" s="306"/>
      <c r="M63" s="306"/>
      <c r="N63" s="306"/>
    </row>
    <row r="64" spans="2:14" x14ac:dyDescent="0.25">
      <c r="B64" s="305">
        <v>6</v>
      </c>
      <c r="C64" s="310">
        <v>1</v>
      </c>
      <c r="D64" s="310">
        <v>21</v>
      </c>
      <c r="E64" s="34">
        <v>0</v>
      </c>
      <c r="F64" s="34">
        <v>0</v>
      </c>
      <c r="G64" s="34">
        <v>0</v>
      </c>
      <c r="H64" s="34">
        <v>1</v>
      </c>
      <c r="I64" s="34">
        <v>26</v>
      </c>
      <c r="J64" s="34">
        <v>13</v>
      </c>
      <c r="K64" s="306" t="s">
        <v>993</v>
      </c>
      <c r="L64" s="306" t="s">
        <v>994</v>
      </c>
      <c r="M64" s="306" t="s">
        <v>1070</v>
      </c>
      <c r="N64" s="306"/>
    </row>
    <row r="65" spans="2:14" x14ac:dyDescent="0.25">
      <c r="B65" s="305"/>
      <c r="C65" s="311"/>
      <c r="D65" s="311"/>
      <c r="E65" s="34">
        <v>1</v>
      </c>
      <c r="F65" s="34">
        <v>0</v>
      </c>
      <c r="G65" s="34">
        <v>0</v>
      </c>
      <c r="H65" s="34">
        <v>1</v>
      </c>
      <c r="I65" s="34">
        <v>13</v>
      </c>
      <c r="J65" s="34">
        <v>13</v>
      </c>
      <c r="K65" s="305"/>
      <c r="L65" s="306"/>
      <c r="M65" s="306"/>
      <c r="N65" s="306"/>
    </row>
    <row r="66" spans="2:14" x14ac:dyDescent="0.25">
      <c r="B66" s="305"/>
      <c r="C66" s="311"/>
      <c r="D66" s="311"/>
      <c r="E66" s="34" t="s">
        <v>984</v>
      </c>
      <c r="F66" s="34" t="s">
        <v>984</v>
      </c>
      <c r="G66" s="34" t="s">
        <v>984</v>
      </c>
      <c r="H66" s="34" t="s">
        <v>984</v>
      </c>
      <c r="I66" s="34" t="s">
        <v>984</v>
      </c>
      <c r="J66" s="34" t="s">
        <v>984</v>
      </c>
      <c r="K66" s="305"/>
      <c r="L66" s="306"/>
      <c r="M66" s="306"/>
      <c r="N66" s="306"/>
    </row>
    <row r="67" spans="2:14" x14ac:dyDescent="0.25">
      <c r="B67" s="305"/>
      <c r="C67" s="312"/>
      <c r="D67" s="312"/>
      <c r="E67" s="34">
        <v>20</v>
      </c>
      <c r="F67" s="34">
        <v>0</v>
      </c>
      <c r="G67" s="34">
        <v>0</v>
      </c>
      <c r="H67" s="34">
        <v>1</v>
      </c>
      <c r="I67" s="34">
        <v>260</v>
      </c>
      <c r="J67" s="34">
        <v>13</v>
      </c>
      <c r="K67" s="305"/>
      <c r="L67" s="306"/>
      <c r="M67" s="306"/>
      <c r="N67" s="306"/>
    </row>
    <row r="68" spans="2:14" x14ac:dyDescent="0.25">
      <c r="B68" s="305"/>
      <c r="C68" s="34" t="s">
        <v>984</v>
      </c>
      <c r="D68" s="34" t="s">
        <v>984</v>
      </c>
      <c r="E68" s="34" t="s">
        <v>984</v>
      </c>
      <c r="F68" s="34" t="s">
        <v>984</v>
      </c>
      <c r="G68" s="34" t="s">
        <v>984</v>
      </c>
      <c r="H68" s="34" t="s">
        <v>984</v>
      </c>
      <c r="I68" s="34" t="s">
        <v>984</v>
      </c>
      <c r="J68" s="34" t="s">
        <v>984</v>
      </c>
      <c r="K68" s="305"/>
      <c r="L68" s="306"/>
      <c r="M68" s="306"/>
      <c r="N68" s="306"/>
    </row>
    <row r="69" spans="2:14" x14ac:dyDescent="0.25">
      <c r="B69" s="305"/>
      <c r="C69" s="315">
        <v>1</v>
      </c>
      <c r="D69" s="315">
        <v>7</v>
      </c>
      <c r="E69" s="35">
        <v>0</v>
      </c>
      <c r="F69" s="35">
        <v>0</v>
      </c>
      <c r="G69" s="35">
        <v>0</v>
      </c>
      <c r="H69" s="35" t="s">
        <v>131</v>
      </c>
      <c r="I69" s="35">
        <v>0</v>
      </c>
      <c r="J69" s="35">
        <v>13</v>
      </c>
      <c r="K69" s="305"/>
      <c r="L69" s="306"/>
      <c r="M69" s="306"/>
      <c r="N69" s="306"/>
    </row>
    <row r="70" spans="2:14" x14ac:dyDescent="0.25">
      <c r="B70" s="305"/>
      <c r="C70" s="318"/>
      <c r="D70" s="318"/>
      <c r="E70" s="43" t="s">
        <v>984</v>
      </c>
      <c r="F70" s="43" t="s">
        <v>984</v>
      </c>
      <c r="G70" s="43" t="s">
        <v>984</v>
      </c>
      <c r="H70" s="43" t="s">
        <v>984</v>
      </c>
      <c r="I70" s="43" t="s">
        <v>984</v>
      </c>
      <c r="J70" s="43" t="s">
        <v>984</v>
      </c>
      <c r="K70" s="305"/>
      <c r="L70" s="306"/>
      <c r="M70" s="306"/>
      <c r="N70" s="306"/>
    </row>
    <row r="71" spans="2:14" x14ac:dyDescent="0.25">
      <c r="B71" s="305"/>
      <c r="C71" s="316"/>
      <c r="D71" s="316"/>
      <c r="E71" s="35">
        <v>6</v>
      </c>
      <c r="F71" s="35">
        <v>0</v>
      </c>
      <c r="G71" s="35">
        <v>0</v>
      </c>
      <c r="H71" s="35" t="s">
        <v>131</v>
      </c>
      <c r="I71" s="35">
        <v>78</v>
      </c>
      <c r="J71" s="35">
        <v>13</v>
      </c>
      <c r="K71" s="305"/>
      <c r="L71" s="306"/>
      <c r="M71" s="306"/>
      <c r="N71" s="306"/>
    </row>
    <row r="72" spans="2:14" x14ac:dyDescent="0.25">
      <c r="B72" s="305"/>
      <c r="C72" s="43" t="s">
        <v>984</v>
      </c>
      <c r="D72" s="43" t="s">
        <v>984</v>
      </c>
      <c r="E72" s="43" t="s">
        <v>984</v>
      </c>
      <c r="F72" s="43" t="s">
        <v>984</v>
      </c>
      <c r="G72" s="43" t="s">
        <v>984</v>
      </c>
      <c r="H72" s="43" t="s">
        <v>984</v>
      </c>
      <c r="I72" s="43" t="s">
        <v>984</v>
      </c>
      <c r="J72" s="43" t="s">
        <v>984</v>
      </c>
      <c r="K72" s="305"/>
      <c r="L72" s="306"/>
      <c r="M72" s="306"/>
      <c r="N72" s="306"/>
    </row>
    <row r="73" spans="2:14" x14ac:dyDescent="0.25">
      <c r="B73" s="305"/>
      <c r="C73" s="315">
        <v>3</v>
      </c>
      <c r="D73" s="315">
        <v>7</v>
      </c>
      <c r="E73" s="35">
        <v>14</v>
      </c>
      <c r="F73" s="35">
        <v>0</v>
      </c>
      <c r="G73" s="35">
        <v>0</v>
      </c>
      <c r="H73" s="35" t="s">
        <v>131</v>
      </c>
      <c r="I73" s="35">
        <v>182</v>
      </c>
      <c r="J73" s="35">
        <v>13</v>
      </c>
      <c r="K73" s="305"/>
      <c r="L73" s="306"/>
      <c r="M73" s="306"/>
      <c r="N73" s="306"/>
    </row>
    <row r="74" spans="2:14" x14ac:dyDescent="0.25">
      <c r="B74" s="305"/>
      <c r="C74" s="318"/>
      <c r="D74" s="318"/>
      <c r="E74" s="43" t="s">
        <v>984</v>
      </c>
      <c r="F74" s="43" t="s">
        <v>984</v>
      </c>
      <c r="G74" s="43" t="s">
        <v>984</v>
      </c>
      <c r="H74" s="43" t="s">
        <v>984</v>
      </c>
      <c r="I74" s="43" t="s">
        <v>984</v>
      </c>
      <c r="J74" s="43" t="s">
        <v>984</v>
      </c>
      <c r="K74" s="305"/>
      <c r="L74" s="306"/>
      <c r="M74" s="306"/>
      <c r="N74" s="306"/>
    </row>
    <row r="75" spans="2:14" x14ac:dyDescent="0.25">
      <c r="B75" s="305"/>
      <c r="C75" s="316"/>
      <c r="D75" s="316"/>
      <c r="E75" s="35">
        <v>20</v>
      </c>
      <c r="F75" s="35">
        <v>0</v>
      </c>
      <c r="G75" s="35">
        <v>0</v>
      </c>
      <c r="H75" s="35" t="s">
        <v>131</v>
      </c>
      <c r="I75" s="35">
        <v>260</v>
      </c>
      <c r="J75" s="35">
        <v>13</v>
      </c>
      <c r="K75" s="305"/>
      <c r="L75" s="306"/>
      <c r="M75" s="306"/>
      <c r="N75" s="306"/>
    </row>
    <row r="76" spans="2:14" x14ac:dyDescent="0.25">
      <c r="B76" s="305">
        <v>7</v>
      </c>
      <c r="C76" s="310">
        <v>1</v>
      </c>
      <c r="D76" s="310">
        <v>14</v>
      </c>
      <c r="E76" s="34">
        <v>0</v>
      </c>
      <c r="F76" s="34">
        <v>0</v>
      </c>
      <c r="G76" s="34">
        <v>0</v>
      </c>
      <c r="H76" s="34">
        <v>1</v>
      </c>
      <c r="I76" s="34">
        <v>0</v>
      </c>
      <c r="J76" s="34">
        <v>13</v>
      </c>
      <c r="K76" s="306" t="s">
        <v>996</v>
      </c>
      <c r="L76" s="306" t="s">
        <v>988</v>
      </c>
      <c r="M76" s="306" t="s">
        <v>1071</v>
      </c>
      <c r="N76" s="306"/>
    </row>
    <row r="77" spans="2:14" x14ac:dyDescent="0.25">
      <c r="B77" s="305"/>
      <c r="C77" s="311"/>
      <c r="D77" s="311"/>
      <c r="E77" s="34">
        <v>1</v>
      </c>
      <c r="F77" s="34">
        <v>0</v>
      </c>
      <c r="G77" s="34">
        <v>0</v>
      </c>
      <c r="H77" s="34">
        <v>1</v>
      </c>
      <c r="I77" s="34">
        <v>26</v>
      </c>
      <c r="J77" s="34">
        <v>13</v>
      </c>
      <c r="K77" s="305"/>
      <c r="L77" s="306"/>
      <c r="M77" s="306"/>
      <c r="N77" s="306"/>
    </row>
    <row r="78" spans="2:14" x14ac:dyDescent="0.25">
      <c r="B78" s="305"/>
      <c r="C78" s="311"/>
      <c r="D78" s="311"/>
      <c r="E78" s="34" t="s">
        <v>984</v>
      </c>
      <c r="F78" s="34" t="s">
        <v>984</v>
      </c>
      <c r="G78" s="34" t="s">
        <v>984</v>
      </c>
      <c r="H78" s="34" t="s">
        <v>984</v>
      </c>
      <c r="I78" s="34" t="s">
        <v>984</v>
      </c>
      <c r="J78" s="34" t="s">
        <v>984</v>
      </c>
      <c r="K78" s="305"/>
      <c r="L78" s="306"/>
      <c r="M78" s="306"/>
      <c r="N78" s="306"/>
    </row>
    <row r="79" spans="2:14" x14ac:dyDescent="0.25">
      <c r="B79" s="305"/>
      <c r="C79" s="312"/>
      <c r="D79" s="312"/>
      <c r="E79" s="34">
        <v>13</v>
      </c>
      <c r="F79" s="34">
        <v>0</v>
      </c>
      <c r="G79" s="34">
        <v>0</v>
      </c>
      <c r="H79" s="34">
        <v>1</v>
      </c>
      <c r="I79" s="34">
        <v>260</v>
      </c>
      <c r="J79" s="34">
        <v>13</v>
      </c>
      <c r="K79" s="305"/>
      <c r="L79" s="306"/>
      <c r="M79" s="306"/>
      <c r="N79" s="306"/>
    </row>
    <row r="80" spans="2:14" x14ac:dyDescent="0.25">
      <c r="B80" s="305"/>
      <c r="C80" s="34" t="s">
        <v>984</v>
      </c>
      <c r="D80" s="34" t="s">
        <v>984</v>
      </c>
      <c r="E80" s="34" t="s">
        <v>984</v>
      </c>
      <c r="F80" s="34" t="s">
        <v>984</v>
      </c>
      <c r="G80" s="34" t="s">
        <v>984</v>
      </c>
      <c r="H80" s="34" t="s">
        <v>984</v>
      </c>
      <c r="I80" s="34" t="s">
        <v>984</v>
      </c>
      <c r="J80" s="34" t="s">
        <v>984</v>
      </c>
      <c r="K80" s="305"/>
      <c r="L80" s="306"/>
      <c r="M80" s="306"/>
      <c r="N80" s="306"/>
    </row>
    <row r="81" spans="2:14" x14ac:dyDescent="0.25">
      <c r="B81" s="305"/>
      <c r="C81" s="315">
        <v>1</v>
      </c>
      <c r="D81" s="315">
        <v>7</v>
      </c>
      <c r="E81" s="35">
        <v>0</v>
      </c>
      <c r="F81" s="35">
        <v>0</v>
      </c>
      <c r="G81" s="35">
        <v>0</v>
      </c>
      <c r="H81" s="35" t="s">
        <v>131</v>
      </c>
      <c r="I81" s="35">
        <v>0</v>
      </c>
      <c r="J81" s="35">
        <v>13</v>
      </c>
      <c r="K81" s="305"/>
      <c r="L81" s="306"/>
      <c r="M81" s="306"/>
      <c r="N81" s="306"/>
    </row>
    <row r="82" spans="2:14" x14ac:dyDescent="0.25">
      <c r="B82" s="305"/>
      <c r="C82" s="318"/>
      <c r="D82" s="318"/>
      <c r="E82" s="43" t="s">
        <v>984</v>
      </c>
      <c r="F82" s="43" t="s">
        <v>984</v>
      </c>
      <c r="G82" s="43" t="s">
        <v>984</v>
      </c>
      <c r="H82" s="43" t="s">
        <v>984</v>
      </c>
      <c r="I82" s="43" t="s">
        <v>984</v>
      </c>
      <c r="J82" s="43" t="s">
        <v>984</v>
      </c>
      <c r="K82" s="305"/>
      <c r="L82" s="306"/>
      <c r="M82" s="306"/>
      <c r="N82" s="306"/>
    </row>
    <row r="83" spans="2:14" x14ac:dyDescent="0.25">
      <c r="B83" s="305"/>
      <c r="C83" s="316"/>
      <c r="D83" s="316"/>
      <c r="E83" s="35">
        <v>6</v>
      </c>
      <c r="F83" s="35">
        <v>0</v>
      </c>
      <c r="G83" s="35">
        <v>0</v>
      </c>
      <c r="H83" s="35" t="s">
        <v>131</v>
      </c>
      <c r="I83" s="35">
        <v>130</v>
      </c>
      <c r="J83" s="35">
        <v>13</v>
      </c>
      <c r="K83" s="305"/>
      <c r="L83" s="306"/>
      <c r="M83" s="306"/>
      <c r="N83" s="306"/>
    </row>
    <row r="84" spans="2:14" x14ac:dyDescent="0.25">
      <c r="B84" s="305"/>
      <c r="C84" s="315">
        <v>2</v>
      </c>
      <c r="D84" s="315">
        <v>7</v>
      </c>
      <c r="E84" s="35">
        <v>7</v>
      </c>
      <c r="F84" s="35">
        <v>0</v>
      </c>
      <c r="G84" s="35">
        <v>0</v>
      </c>
      <c r="H84" s="35" t="s">
        <v>131</v>
      </c>
      <c r="I84" s="35">
        <v>143</v>
      </c>
      <c r="J84" s="35">
        <v>13</v>
      </c>
      <c r="K84" s="305"/>
      <c r="L84" s="306"/>
      <c r="M84" s="306"/>
      <c r="N84" s="306"/>
    </row>
    <row r="85" spans="2:14" x14ac:dyDescent="0.25">
      <c r="B85" s="305"/>
      <c r="C85" s="318"/>
      <c r="D85" s="318"/>
      <c r="E85" s="43" t="s">
        <v>984</v>
      </c>
      <c r="F85" s="43" t="s">
        <v>984</v>
      </c>
      <c r="G85" s="43" t="s">
        <v>984</v>
      </c>
      <c r="H85" s="43" t="s">
        <v>984</v>
      </c>
      <c r="I85" s="43" t="s">
        <v>984</v>
      </c>
      <c r="J85" s="43" t="s">
        <v>984</v>
      </c>
      <c r="K85" s="305"/>
      <c r="L85" s="306"/>
      <c r="M85" s="306"/>
      <c r="N85" s="306"/>
    </row>
    <row r="86" spans="2:14" x14ac:dyDescent="0.25">
      <c r="B86" s="305"/>
      <c r="C86" s="316"/>
      <c r="D86" s="316"/>
      <c r="E86" s="35">
        <v>13</v>
      </c>
      <c r="F86" s="35">
        <v>0</v>
      </c>
      <c r="G86" s="35">
        <v>0</v>
      </c>
      <c r="H86" s="35" t="s">
        <v>131</v>
      </c>
      <c r="I86" s="35">
        <v>260</v>
      </c>
      <c r="J86" s="35">
        <v>13</v>
      </c>
      <c r="K86" s="305"/>
      <c r="L86" s="306"/>
      <c r="M86" s="306"/>
      <c r="N86" s="306"/>
    </row>
    <row r="87" spans="2:14" x14ac:dyDescent="0.25">
      <c r="B87" s="305">
        <v>8</v>
      </c>
      <c r="C87" s="310">
        <v>1</v>
      </c>
      <c r="D87" s="310">
        <v>14</v>
      </c>
      <c r="E87" s="34">
        <v>0</v>
      </c>
      <c r="F87" s="34">
        <v>0</v>
      </c>
      <c r="G87" s="34">
        <v>0</v>
      </c>
      <c r="H87" s="34">
        <v>1</v>
      </c>
      <c r="I87" s="34">
        <v>26</v>
      </c>
      <c r="J87" s="34">
        <v>13</v>
      </c>
      <c r="K87" s="306" t="s">
        <v>998</v>
      </c>
      <c r="L87" s="306" t="s">
        <v>994</v>
      </c>
      <c r="M87" s="306" t="s">
        <v>1072</v>
      </c>
      <c r="N87" s="306"/>
    </row>
    <row r="88" spans="2:14" x14ac:dyDescent="0.25">
      <c r="B88" s="305"/>
      <c r="C88" s="311"/>
      <c r="D88" s="311"/>
      <c r="E88" s="34">
        <v>1</v>
      </c>
      <c r="F88" s="34">
        <v>0</v>
      </c>
      <c r="G88" s="34">
        <v>0</v>
      </c>
      <c r="H88" s="34">
        <v>1</v>
      </c>
      <c r="I88" s="34">
        <v>0</v>
      </c>
      <c r="J88" s="34">
        <v>13</v>
      </c>
      <c r="K88" s="305"/>
      <c r="L88" s="306"/>
      <c r="M88" s="306"/>
      <c r="N88" s="306"/>
    </row>
    <row r="89" spans="2:14" x14ac:dyDescent="0.25">
      <c r="B89" s="305"/>
      <c r="C89" s="311"/>
      <c r="D89" s="311"/>
      <c r="E89" s="34" t="s">
        <v>984</v>
      </c>
      <c r="F89" s="34" t="s">
        <v>984</v>
      </c>
      <c r="G89" s="34" t="s">
        <v>984</v>
      </c>
      <c r="H89" s="34" t="s">
        <v>984</v>
      </c>
      <c r="I89" s="34" t="s">
        <v>984</v>
      </c>
      <c r="J89" s="34" t="s">
        <v>984</v>
      </c>
      <c r="K89" s="305"/>
      <c r="L89" s="306"/>
      <c r="M89" s="306"/>
      <c r="N89" s="306"/>
    </row>
    <row r="90" spans="2:14" x14ac:dyDescent="0.25">
      <c r="B90" s="305"/>
      <c r="C90" s="312"/>
      <c r="D90" s="312"/>
      <c r="E90" s="34">
        <v>13</v>
      </c>
      <c r="F90" s="34">
        <v>0</v>
      </c>
      <c r="G90" s="34">
        <v>0</v>
      </c>
      <c r="H90" s="34">
        <v>1</v>
      </c>
      <c r="I90" s="34">
        <v>247</v>
      </c>
      <c r="J90" s="34">
        <v>13</v>
      </c>
      <c r="K90" s="305"/>
      <c r="L90" s="306"/>
      <c r="M90" s="306"/>
      <c r="N90" s="306"/>
    </row>
    <row r="91" spans="2:14" x14ac:dyDescent="0.25">
      <c r="B91" s="305"/>
      <c r="C91" s="315">
        <v>1</v>
      </c>
      <c r="D91" s="315">
        <v>7</v>
      </c>
      <c r="E91" s="35">
        <v>0</v>
      </c>
      <c r="F91" s="35">
        <v>0</v>
      </c>
      <c r="G91" s="35">
        <v>0</v>
      </c>
      <c r="H91" s="35" t="s">
        <v>131</v>
      </c>
      <c r="I91" s="35">
        <v>0</v>
      </c>
      <c r="J91" s="35">
        <v>13</v>
      </c>
      <c r="K91" s="305"/>
      <c r="L91" s="306"/>
      <c r="M91" s="306"/>
      <c r="N91" s="306"/>
    </row>
    <row r="92" spans="2:14" x14ac:dyDescent="0.25">
      <c r="B92" s="305"/>
      <c r="C92" s="318"/>
      <c r="D92" s="318"/>
      <c r="E92" s="43" t="s">
        <v>984</v>
      </c>
      <c r="F92" s="43" t="s">
        <v>984</v>
      </c>
      <c r="G92" s="43" t="s">
        <v>984</v>
      </c>
      <c r="H92" s="43" t="s">
        <v>984</v>
      </c>
      <c r="I92" s="43" t="s">
        <v>984</v>
      </c>
      <c r="J92" s="43" t="s">
        <v>984</v>
      </c>
      <c r="K92" s="305"/>
      <c r="L92" s="306"/>
      <c r="M92" s="306"/>
      <c r="N92" s="306"/>
    </row>
    <row r="93" spans="2:14" x14ac:dyDescent="0.25">
      <c r="B93" s="305"/>
      <c r="C93" s="316"/>
      <c r="D93" s="316"/>
      <c r="E93" s="35">
        <v>6</v>
      </c>
      <c r="F93" s="35">
        <v>0</v>
      </c>
      <c r="G93" s="35">
        <v>0</v>
      </c>
      <c r="H93" s="35" t="s">
        <v>131</v>
      </c>
      <c r="I93" s="35">
        <v>117</v>
      </c>
      <c r="J93" s="35">
        <v>13</v>
      </c>
      <c r="K93" s="305"/>
      <c r="L93" s="306"/>
      <c r="M93" s="306"/>
      <c r="N93" s="306"/>
    </row>
    <row r="94" spans="2:14" x14ac:dyDescent="0.25">
      <c r="B94" s="305"/>
      <c r="C94" s="315">
        <v>2</v>
      </c>
      <c r="D94" s="315">
        <v>7</v>
      </c>
      <c r="E94" s="35">
        <v>7</v>
      </c>
      <c r="F94" s="35">
        <v>0</v>
      </c>
      <c r="G94" s="35">
        <v>0</v>
      </c>
      <c r="H94" s="35" t="s">
        <v>131</v>
      </c>
      <c r="I94" s="35">
        <v>143</v>
      </c>
      <c r="J94" s="35">
        <v>13</v>
      </c>
      <c r="K94" s="305"/>
      <c r="L94" s="306"/>
      <c r="M94" s="306"/>
      <c r="N94" s="306"/>
    </row>
    <row r="95" spans="2:14" x14ac:dyDescent="0.25">
      <c r="B95" s="305"/>
      <c r="C95" s="318"/>
      <c r="D95" s="318"/>
      <c r="E95" s="43" t="s">
        <v>984</v>
      </c>
      <c r="F95" s="43" t="s">
        <v>984</v>
      </c>
      <c r="G95" s="43" t="s">
        <v>984</v>
      </c>
      <c r="H95" s="43" t="s">
        <v>984</v>
      </c>
      <c r="I95" s="43" t="s">
        <v>984</v>
      </c>
      <c r="J95" s="43" t="s">
        <v>984</v>
      </c>
      <c r="K95" s="305"/>
      <c r="L95" s="306"/>
      <c r="M95" s="306"/>
      <c r="N95" s="306"/>
    </row>
    <row r="96" spans="2:14" x14ac:dyDescent="0.25">
      <c r="B96" s="305"/>
      <c r="C96" s="316"/>
      <c r="D96" s="316"/>
      <c r="E96" s="35">
        <v>13</v>
      </c>
      <c r="F96" s="35">
        <v>1</v>
      </c>
      <c r="G96" s="35">
        <v>0</v>
      </c>
      <c r="H96" s="35" t="s">
        <v>131</v>
      </c>
      <c r="I96" s="35">
        <v>260</v>
      </c>
      <c r="J96" s="35">
        <v>13</v>
      </c>
      <c r="K96" s="305"/>
      <c r="L96" s="306"/>
      <c r="M96" s="306"/>
      <c r="N96" s="306"/>
    </row>
    <row r="97" spans="2:14" x14ac:dyDescent="0.25">
      <c r="B97" s="391" t="s">
        <v>1000</v>
      </c>
      <c r="C97" s="34">
        <v>1</v>
      </c>
      <c r="D97" s="34">
        <v>1</v>
      </c>
      <c r="E97" s="34">
        <v>0</v>
      </c>
      <c r="F97" s="34">
        <v>0</v>
      </c>
      <c r="G97" s="34">
        <v>0</v>
      </c>
      <c r="H97" s="34">
        <v>14</v>
      </c>
      <c r="I97" s="34">
        <v>0</v>
      </c>
      <c r="J97" s="34">
        <v>273</v>
      </c>
      <c r="K97" s="305" t="s">
        <v>1001</v>
      </c>
      <c r="L97" s="306" t="s">
        <v>1002</v>
      </c>
      <c r="M97" s="306" t="s">
        <v>1073</v>
      </c>
      <c r="N97" s="306"/>
    </row>
    <row r="98" spans="2:14" x14ac:dyDescent="0.25">
      <c r="B98" s="305"/>
      <c r="C98" s="35">
        <v>1</v>
      </c>
      <c r="D98" s="35">
        <v>1</v>
      </c>
      <c r="E98" s="35">
        <v>0</v>
      </c>
      <c r="F98" s="35">
        <v>0</v>
      </c>
      <c r="G98" s="35">
        <v>0</v>
      </c>
      <c r="H98" s="35" t="s">
        <v>131</v>
      </c>
      <c r="I98" s="35">
        <v>0</v>
      </c>
      <c r="J98" s="35">
        <v>156</v>
      </c>
      <c r="K98" s="305"/>
      <c r="L98" s="306"/>
      <c r="M98" s="306"/>
      <c r="N98" s="306"/>
    </row>
    <row r="99" spans="2:14" x14ac:dyDescent="0.25">
      <c r="B99" s="305"/>
      <c r="C99" s="35">
        <v>2</v>
      </c>
      <c r="D99" s="35">
        <v>1</v>
      </c>
      <c r="E99" s="35">
        <v>0</v>
      </c>
      <c r="F99" s="35">
        <v>0</v>
      </c>
      <c r="G99" s="35">
        <v>0</v>
      </c>
      <c r="H99" s="35" t="s">
        <v>131</v>
      </c>
      <c r="I99" s="35">
        <v>156</v>
      </c>
      <c r="J99" s="35">
        <v>117</v>
      </c>
      <c r="K99" s="305"/>
      <c r="L99" s="306"/>
      <c r="M99" s="306"/>
      <c r="N99" s="306"/>
    </row>
    <row r="100" spans="2:14" x14ac:dyDescent="0.25">
      <c r="B100" s="305"/>
      <c r="C100" s="43" t="s">
        <v>984</v>
      </c>
      <c r="D100" s="43" t="s">
        <v>984</v>
      </c>
      <c r="E100" s="43" t="s">
        <v>984</v>
      </c>
      <c r="F100" s="43" t="s">
        <v>984</v>
      </c>
      <c r="G100" s="43" t="s">
        <v>984</v>
      </c>
      <c r="H100" s="43" t="s">
        <v>984</v>
      </c>
      <c r="I100" s="43" t="s">
        <v>984</v>
      </c>
      <c r="J100" s="43" t="s">
        <v>984</v>
      </c>
      <c r="K100" s="305"/>
      <c r="L100" s="306"/>
      <c r="M100" s="306"/>
      <c r="N100" s="306"/>
    </row>
    <row r="101" spans="2:14" x14ac:dyDescent="0.25">
      <c r="B101" s="305"/>
      <c r="C101" s="35">
        <v>27</v>
      </c>
      <c r="D101" s="35">
        <v>1</v>
      </c>
      <c r="E101" s="35">
        <v>0</v>
      </c>
      <c r="F101" s="35">
        <v>13</v>
      </c>
      <c r="G101" s="35">
        <v>0</v>
      </c>
      <c r="H101" s="35" t="s">
        <v>131</v>
      </c>
      <c r="I101" s="35">
        <v>0</v>
      </c>
      <c r="J101" s="35">
        <v>156</v>
      </c>
      <c r="K101" s="305"/>
      <c r="L101" s="306"/>
      <c r="M101" s="306"/>
      <c r="N101" s="306"/>
    </row>
    <row r="102" spans="2:14" ht="15.75" thickBot="1" x14ac:dyDescent="0.3">
      <c r="B102" s="305"/>
      <c r="C102" s="35">
        <v>28</v>
      </c>
      <c r="D102" s="35">
        <v>1</v>
      </c>
      <c r="E102" s="35">
        <v>0</v>
      </c>
      <c r="F102" s="35">
        <v>13</v>
      </c>
      <c r="G102" s="35">
        <v>0</v>
      </c>
      <c r="H102" s="35" t="s">
        <v>131</v>
      </c>
      <c r="I102" s="35">
        <v>156</v>
      </c>
      <c r="J102" s="35">
        <v>117</v>
      </c>
      <c r="K102" s="305"/>
      <c r="L102" s="306"/>
      <c r="M102" s="306"/>
      <c r="N102" s="306"/>
    </row>
    <row r="103" spans="2:14" ht="15.75" thickBot="1" x14ac:dyDescent="0.3">
      <c r="B103" s="388" t="s">
        <v>1003</v>
      </c>
      <c r="C103" s="389"/>
      <c r="D103" s="389"/>
      <c r="E103" s="389"/>
      <c r="F103" s="389"/>
      <c r="G103" s="389"/>
      <c r="H103" s="389"/>
      <c r="I103" s="389"/>
      <c r="J103" s="389"/>
      <c r="K103" s="389"/>
      <c r="L103" s="389"/>
      <c r="M103" s="389"/>
      <c r="N103" s="390"/>
    </row>
    <row r="104" spans="2:14" x14ac:dyDescent="0.25">
      <c r="B104" s="304">
        <v>17</v>
      </c>
      <c r="C104" s="34">
        <v>1</v>
      </c>
      <c r="D104" s="34">
        <v>1</v>
      </c>
      <c r="E104" s="34">
        <v>0</v>
      </c>
      <c r="F104" s="34">
        <v>0</v>
      </c>
      <c r="G104" s="34">
        <v>0</v>
      </c>
      <c r="H104" s="34">
        <v>14</v>
      </c>
      <c r="I104" s="34">
        <v>0</v>
      </c>
      <c r="J104" s="34">
        <v>273</v>
      </c>
      <c r="K104" s="304" t="s">
        <v>1004</v>
      </c>
      <c r="L104" s="301" t="s">
        <v>980</v>
      </c>
      <c r="M104" s="301" t="s">
        <v>1005</v>
      </c>
      <c r="N104" s="301"/>
    </row>
    <row r="105" spans="2:14" x14ac:dyDescent="0.25">
      <c r="B105" s="302"/>
      <c r="C105" s="35">
        <v>1</v>
      </c>
      <c r="D105" s="35">
        <v>1</v>
      </c>
      <c r="E105" s="35">
        <v>0</v>
      </c>
      <c r="F105" s="35">
        <v>0</v>
      </c>
      <c r="G105" s="35">
        <v>0</v>
      </c>
      <c r="H105" s="35" t="s">
        <v>131</v>
      </c>
      <c r="I105" s="35">
        <v>0</v>
      </c>
      <c r="J105" s="35">
        <v>30</v>
      </c>
      <c r="K105" s="302"/>
      <c r="L105" s="307"/>
      <c r="M105" s="307"/>
      <c r="N105" s="307"/>
    </row>
    <row r="106" spans="2:14" x14ac:dyDescent="0.25">
      <c r="B106" s="302"/>
      <c r="C106" s="35">
        <v>2</v>
      </c>
      <c r="D106" s="35">
        <v>1</v>
      </c>
      <c r="E106" s="35">
        <v>0</v>
      </c>
      <c r="F106" s="35">
        <v>0</v>
      </c>
      <c r="G106" s="35">
        <v>0</v>
      </c>
      <c r="H106" s="35" t="s">
        <v>131</v>
      </c>
      <c r="I106" s="35">
        <v>30</v>
      </c>
      <c r="J106" s="35">
        <v>30</v>
      </c>
      <c r="K106" s="302"/>
      <c r="L106" s="307"/>
      <c r="M106" s="307"/>
      <c r="N106" s="307"/>
    </row>
    <row r="107" spans="2:14" x14ac:dyDescent="0.25">
      <c r="B107" s="302"/>
      <c r="C107" s="43" t="s">
        <v>984</v>
      </c>
      <c r="D107" s="43" t="s">
        <v>984</v>
      </c>
      <c r="E107" s="43" t="s">
        <v>984</v>
      </c>
      <c r="F107" s="43" t="s">
        <v>984</v>
      </c>
      <c r="G107" s="43" t="s">
        <v>984</v>
      </c>
      <c r="H107" s="43" t="s">
        <v>984</v>
      </c>
      <c r="I107" s="43" t="s">
        <v>984</v>
      </c>
      <c r="J107" s="43" t="s">
        <v>984</v>
      </c>
      <c r="K107" s="302"/>
      <c r="L107" s="307"/>
      <c r="M107" s="307"/>
      <c r="N107" s="307"/>
    </row>
    <row r="108" spans="2:14" x14ac:dyDescent="0.25">
      <c r="B108" s="302"/>
      <c r="C108" s="35">
        <v>10</v>
      </c>
      <c r="D108" s="35">
        <v>1</v>
      </c>
      <c r="E108" s="35">
        <v>0</v>
      </c>
      <c r="F108" s="35">
        <v>0</v>
      </c>
      <c r="G108" s="35">
        <v>0</v>
      </c>
      <c r="H108" s="35" t="s">
        <v>131</v>
      </c>
      <c r="I108" s="35">
        <v>270</v>
      </c>
      <c r="J108" s="35">
        <v>3</v>
      </c>
      <c r="K108" s="302"/>
      <c r="L108" s="307"/>
      <c r="M108" s="307"/>
      <c r="N108" s="307"/>
    </row>
    <row r="109" spans="2:14" x14ac:dyDescent="0.25">
      <c r="B109" s="302"/>
      <c r="C109" s="43" t="s">
        <v>984</v>
      </c>
      <c r="D109" s="43" t="s">
        <v>984</v>
      </c>
      <c r="E109" s="43" t="s">
        <v>984</v>
      </c>
      <c r="F109" s="43" t="s">
        <v>984</v>
      </c>
      <c r="G109" s="43" t="s">
        <v>984</v>
      </c>
      <c r="H109" s="43" t="s">
        <v>984</v>
      </c>
      <c r="I109" s="43" t="s">
        <v>984</v>
      </c>
      <c r="J109" s="43" t="s">
        <v>984</v>
      </c>
      <c r="K109" s="302"/>
      <c r="L109" s="307"/>
      <c r="M109" s="307"/>
      <c r="N109" s="307"/>
    </row>
    <row r="110" spans="2:14" x14ac:dyDescent="0.25">
      <c r="B110" s="302"/>
      <c r="C110" s="35">
        <v>131</v>
      </c>
      <c r="D110" s="35">
        <v>1</v>
      </c>
      <c r="E110" s="35">
        <v>0</v>
      </c>
      <c r="F110" s="35">
        <v>13</v>
      </c>
      <c r="G110" s="35">
        <v>0</v>
      </c>
      <c r="H110" s="35" t="s">
        <v>131</v>
      </c>
      <c r="I110" s="35">
        <v>0</v>
      </c>
      <c r="J110" s="35">
        <v>30</v>
      </c>
      <c r="K110" s="302"/>
      <c r="L110" s="307"/>
      <c r="M110" s="307"/>
      <c r="N110" s="307"/>
    </row>
    <row r="111" spans="2:14" x14ac:dyDescent="0.25">
      <c r="B111" s="302"/>
      <c r="C111" s="35">
        <v>132</v>
      </c>
      <c r="D111" s="35">
        <v>1</v>
      </c>
      <c r="E111" s="35">
        <v>0</v>
      </c>
      <c r="F111" s="35">
        <v>13</v>
      </c>
      <c r="G111" s="35">
        <v>0</v>
      </c>
      <c r="H111" s="35" t="s">
        <v>131</v>
      </c>
      <c r="I111" s="35">
        <v>30</v>
      </c>
      <c r="J111" s="35">
        <v>30</v>
      </c>
      <c r="K111" s="302"/>
      <c r="L111" s="307"/>
      <c r="M111" s="307"/>
      <c r="N111" s="307"/>
    </row>
    <row r="112" spans="2:14" x14ac:dyDescent="0.25">
      <c r="B112" s="302"/>
      <c r="C112" s="43" t="s">
        <v>984</v>
      </c>
      <c r="D112" s="43" t="s">
        <v>984</v>
      </c>
      <c r="E112" s="43" t="s">
        <v>984</v>
      </c>
      <c r="F112" s="43" t="s">
        <v>984</v>
      </c>
      <c r="G112" s="43" t="s">
        <v>984</v>
      </c>
      <c r="H112" s="43" t="s">
        <v>984</v>
      </c>
      <c r="I112" s="43" t="s">
        <v>984</v>
      </c>
      <c r="J112" s="43" t="s">
        <v>984</v>
      </c>
      <c r="K112" s="302"/>
      <c r="L112" s="307"/>
      <c r="M112" s="307"/>
      <c r="N112" s="307"/>
    </row>
    <row r="113" spans="2:14" x14ac:dyDescent="0.25">
      <c r="B113" s="303"/>
      <c r="C113" s="35">
        <v>140</v>
      </c>
      <c r="D113" s="35">
        <v>1</v>
      </c>
      <c r="E113" s="35">
        <v>0</v>
      </c>
      <c r="F113" s="35">
        <v>13</v>
      </c>
      <c r="G113" s="35">
        <v>0</v>
      </c>
      <c r="H113" s="35" t="s">
        <v>131</v>
      </c>
      <c r="I113" s="35">
        <v>270</v>
      </c>
      <c r="J113" s="35">
        <v>3</v>
      </c>
      <c r="K113" s="303"/>
      <c r="L113" s="308"/>
      <c r="M113" s="308"/>
      <c r="N113" s="308"/>
    </row>
    <row r="114" spans="2:14" x14ac:dyDescent="0.25">
      <c r="B114" s="305">
        <v>18</v>
      </c>
      <c r="C114" s="34">
        <v>1</v>
      </c>
      <c r="D114" s="34">
        <v>1</v>
      </c>
      <c r="E114" s="34">
        <v>0</v>
      </c>
      <c r="F114" s="34">
        <v>0</v>
      </c>
      <c r="G114" s="34">
        <v>0</v>
      </c>
      <c r="H114" s="34">
        <v>1</v>
      </c>
      <c r="I114" s="34">
        <v>0</v>
      </c>
      <c r="J114" s="34">
        <v>273</v>
      </c>
      <c r="K114" s="305" t="s">
        <v>1006</v>
      </c>
      <c r="L114" s="306" t="s">
        <v>982</v>
      </c>
      <c r="M114" s="306" t="s">
        <v>1007</v>
      </c>
      <c r="N114" s="306"/>
    </row>
    <row r="115" spans="2:14" x14ac:dyDescent="0.25">
      <c r="B115" s="305"/>
      <c r="C115" s="34">
        <v>2</v>
      </c>
      <c r="D115" s="34">
        <v>1</v>
      </c>
      <c r="E115" s="34">
        <v>0</v>
      </c>
      <c r="F115" s="34">
        <v>1</v>
      </c>
      <c r="G115" s="34">
        <v>0</v>
      </c>
      <c r="H115" s="34">
        <v>1</v>
      </c>
      <c r="I115" s="34">
        <v>0</v>
      </c>
      <c r="J115" s="34">
        <v>273</v>
      </c>
      <c r="K115" s="305"/>
      <c r="L115" s="306"/>
      <c r="M115" s="306"/>
      <c r="N115" s="306"/>
    </row>
    <row r="116" spans="2:14" x14ac:dyDescent="0.25">
      <c r="B116" s="305"/>
      <c r="C116" s="34" t="s">
        <v>984</v>
      </c>
      <c r="D116" s="34" t="s">
        <v>984</v>
      </c>
      <c r="E116" s="34" t="s">
        <v>984</v>
      </c>
      <c r="F116" s="34" t="s">
        <v>984</v>
      </c>
      <c r="G116" s="34" t="s">
        <v>984</v>
      </c>
      <c r="H116" s="34" t="s">
        <v>984</v>
      </c>
      <c r="I116" s="34" t="s">
        <v>984</v>
      </c>
      <c r="J116" s="34" t="s">
        <v>984</v>
      </c>
      <c r="K116" s="305"/>
      <c r="L116" s="306"/>
      <c r="M116" s="306"/>
      <c r="N116" s="306"/>
    </row>
    <row r="117" spans="2:14" x14ac:dyDescent="0.25">
      <c r="B117" s="305"/>
      <c r="C117" s="34">
        <v>14</v>
      </c>
      <c r="D117" s="34">
        <v>1</v>
      </c>
      <c r="E117" s="34">
        <v>0</v>
      </c>
      <c r="F117" s="34">
        <v>13</v>
      </c>
      <c r="G117" s="34">
        <v>0</v>
      </c>
      <c r="H117" s="34">
        <v>1</v>
      </c>
      <c r="I117" s="34">
        <v>0</v>
      </c>
      <c r="J117" s="34">
        <v>273</v>
      </c>
      <c r="K117" s="305"/>
      <c r="L117" s="306"/>
      <c r="M117" s="306"/>
      <c r="N117" s="306"/>
    </row>
    <row r="118" spans="2:14" x14ac:dyDescent="0.25">
      <c r="B118" s="305"/>
      <c r="C118" s="35">
        <v>1</v>
      </c>
      <c r="D118" s="35">
        <v>1</v>
      </c>
      <c r="E118" s="35">
        <v>0</v>
      </c>
      <c r="F118" s="35">
        <v>0</v>
      </c>
      <c r="G118" s="35">
        <v>0</v>
      </c>
      <c r="H118" s="35" t="s">
        <v>131</v>
      </c>
      <c r="I118" s="35">
        <v>0</v>
      </c>
      <c r="J118" s="35">
        <v>30</v>
      </c>
      <c r="K118" s="305"/>
      <c r="L118" s="306"/>
      <c r="M118" s="306"/>
      <c r="N118" s="306"/>
    </row>
    <row r="119" spans="2:14" x14ac:dyDescent="0.25">
      <c r="B119" s="305"/>
      <c r="C119" s="35">
        <v>2</v>
      </c>
      <c r="D119" s="35">
        <v>1</v>
      </c>
      <c r="E119" s="35">
        <v>0</v>
      </c>
      <c r="F119" s="35">
        <v>0</v>
      </c>
      <c r="G119" s="35">
        <v>0</v>
      </c>
      <c r="H119" s="35" t="s">
        <v>131</v>
      </c>
      <c r="I119" s="35">
        <v>30</v>
      </c>
      <c r="J119" s="35">
        <v>30</v>
      </c>
      <c r="K119" s="305"/>
      <c r="L119" s="306"/>
      <c r="M119" s="306"/>
      <c r="N119" s="306"/>
    </row>
    <row r="120" spans="2:14" x14ac:dyDescent="0.25">
      <c r="B120" s="305"/>
      <c r="C120" s="43" t="s">
        <v>984</v>
      </c>
      <c r="D120" s="43" t="s">
        <v>984</v>
      </c>
      <c r="E120" s="43" t="s">
        <v>984</v>
      </c>
      <c r="F120" s="43" t="s">
        <v>984</v>
      </c>
      <c r="G120" s="43" t="s">
        <v>984</v>
      </c>
      <c r="H120" s="43" t="s">
        <v>984</v>
      </c>
      <c r="I120" s="43" t="s">
        <v>984</v>
      </c>
      <c r="J120" s="43" t="s">
        <v>984</v>
      </c>
      <c r="K120" s="305"/>
      <c r="L120" s="306"/>
      <c r="M120" s="306"/>
      <c r="N120" s="306"/>
    </row>
    <row r="121" spans="2:14" x14ac:dyDescent="0.25">
      <c r="B121" s="305"/>
      <c r="C121" s="35">
        <v>10</v>
      </c>
      <c r="D121" s="35">
        <v>1</v>
      </c>
      <c r="E121" s="35">
        <v>0</v>
      </c>
      <c r="F121" s="35">
        <v>0</v>
      </c>
      <c r="G121" s="35">
        <v>0</v>
      </c>
      <c r="H121" s="35" t="s">
        <v>131</v>
      </c>
      <c r="I121" s="35">
        <v>270</v>
      </c>
      <c r="J121" s="35">
        <v>3</v>
      </c>
      <c r="K121" s="305"/>
      <c r="L121" s="306"/>
      <c r="M121" s="306"/>
      <c r="N121" s="306"/>
    </row>
    <row r="122" spans="2:14" x14ac:dyDescent="0.25">
      <c r="B122" s="305"/>
      <c r="C122" s="43" t="s">
        <v>984</v>
      </c>
      <c r="D122" s="43" t="s">
        <v>984</v>
      </c>
      <c r="E122" s="43" t="s">
        <v>984</v>
      </c>
      <c r="F122" s="43" t="s">
        <v>984</v>
      </c>
      <c r="G122" s="43" t="s">
        <v>984</v>
      </c>
      <c r="H122" s="43" t="s">
        <v>984</v>
      </c>
      <c r="I122" s="43" t="s">
        <v>984</v>
      </c>
      <c r="J122" s="43" t="s">
        <v>984</v>
      </c>
      <c r="K122" s="305"/>
      <c r="L122" s="306"/>
      <c r="M122" s="306"/>
      <c r="N122" s="306"/>
    </row>
    <row r="123" spans="2:14" x14ac:dyDescent="0.25">
      <c r="B123" s="305"/>
      <c r="C123" s="35">
        <v>131</v>
      </c>
      <c r="D123" s="35">
        <v>1</v>
      </c>
      <c r="E123" s="35">
        <v>0</v>
      </c>
      <c r="F123" s="35">
        <v>13</v>
      </c>
      <c r="G123" s="35">
        <v>0</v>
      </c>
      <c r="H123" s="35" t="s">
        <v>131</v>
      </c>
      <c r="I123" s="35">
        <v>0</v>
      </c>
      <c r="J123" s="35">
        <v>30</v>
      </c>
      <c r="K123" s="305"/>
      <c r="L123" s="306"/>
      <c r="M123" s="306"/>
      <c r="N123" s="306"/>
    </row>
    <row r="124" spans="2:14" x14ac:dyDescent="0.25">
      <c r="B124" s="305"/>
      <c r="C124" s="35">
        <v>132</v>
      </c>
      <c r="D124" s="35">
        <v>1</v>
      </c>
      <c r="E124" s="35">
        <v>0</v>
      </c>
      <c r="F124" s="35">
        <v>13</v>
      </c>
      <c r="G124" s="35">
        <v>0</v>
      </c>
      <c r="H124" s="35" t="s">
        <v>131</v>
      </c>
      <c r="I124" s="35">
        <v>30</v>
      </c>
      <c r="J124" s="35">
        <v>30</v>
      </c>
      <c r="K124" s="305"/>
      <c r="L124" s="306"/>
      <c r="M124" s="306"/>
      <c r="N124" s="306"/>
    </row>
    <row r="125" spans="2:14" x14ac:dyDescent="0.25">
      <c r="B125" s="305"/>
      <c r="C125" s="43" t="s">
        <v>984</v>
      </c>
      <c r="D125" s="43" t="s">
        <v>984</v>
      </c>
      <c r="E125" s="43" t="s">
        <v>984</v>
      </c>
      <c r="F125" s="43" t="s">
        <v>984</v>
      </c>
      <c r="G125" s="43" t="s">
        <v>984</v>
      </c>
      <c r="H125" s="43" t="s">
        <v>984</v>
      </c>
      <c r="I125" s="43" t="s">
        <v>984</v>
      </c>
      <c r="J125" s="43" t="s">
        <v>984</v>
      </c>
      <c r="K125" s="305"/>
      <c r="L125" s="306"/>
      <c r="M125" s="306"/>
      <c r="N125" s="306"/>
    </row>
    <row r="126" spans="2:14" x14ac:dyDescent="0.25">
      <c r="B126" s="305"/>
      <c r="C126" s="35">
        <v>140</v>
      </c>
      <c r="D126" s="35">
        <v>1</v>
      </c>
      <c r="E126" s="35">
        <v>0</v>
      </c>
      <c r="F126" s="35">
        <v>13</v>
      </c>
      <c r="G126" s="35">
        <v>0</v>
      </c>
      <c r="H126" s="35" t="s">
        <v>131</v>
      </c>
      <c r="I126" s="35">
        <v>270</v>
      </c>
      <c r="J126" s="35">
        <v>3</v>
      </c>
      <c r="K126" s="305"/>
      <c r="L126" s="306"/>
      <c r="M126" s="306"/>
      <c r="N126" s="306"/>
    </row>
    <row r="127" spans="2:14" x14ac:dyDescent="0.25">
      <c r="B127" s="305">
        <v>19</v>
      </c>
      <c r="C127" s="310">
        <v>1</v>
      </c>
      <c r="D127" s="310">
        <v>19</v>
      </c>
      <c r="E127" s="34">
        <v>0</v>
      </c>
      <c r="F127" s="34">
        <v>0</v>
      </c>
      <c r="G127" s="34">
        <v>0</v>
      </c>
      <c r="H127" s="34">
        <v>14</v>
      </c>
      <c r="I127" s="34">
        <v>0</v>
      </c>
      <c r="J127" s="34">
        <v>15</v>
      </c>
      <c r="K127" s="306" t="s">
        <v>1008</v>
      </c>
      <c r="L127" s="306" t="s">
        <v>986</v>
      </c>
      <c r="M127" s="306" t="s">
        <v>1009</v>
      </c>
      <c r="N127" s="306"/>
    </row>
    <row r="128" spans="2:14" x14ac:dyDescent="0.25">
      <c r="B128" s="305"/>
      <c r="C128" s="311"/>
      <c r="D128" s="311"/>
      <c r="E128" s="34">
        <v>1</v>
      </c>
      <c r="F128" s="34">
        <v>0</v>
      </c>
      <c r="G128" s="34">
        <v>0</v>
      </c>
      <c r="H128" s="34">
        <v>14</v>
      </c>
      <c r="I128" s="34">
        <v>15</v>
      </c>
      <c r="J128" s="34">
        <v>15</v>
      </c>
      <c r="K128" s="305"/>
      <c r="L128" s="306"/>
      <c r="M128" s="306"/>
      <c r="N128" s="306"/>
    </row>
    <row r="129" spans="2:14" x14ac:dyDescent="0.25">
      <c r="B129" s="305"/>
      <c r="C129" s="311"/>
      <c r="D129" s="311"/>
      <c r="E129" s="34" t="s">
        <v>984</v>
      </c>
      <c r="F129" s="34" t="s">
        <v>984</v>
      </c>
      <c r="G129" s="34" t="s">
        <v>984</v>
      </c>
      <c r="H129" s="34" t="s">
        <v>984</v>
      </c>
      <c r="I129" s="34" t="s">
        <v>984</v>
      </c>
      <c r="J129" s="34" t="s">
        <v>984</v>
      </c>
      <c r="K129" s="305"/>
      <c r="L129" s="306"/>
      <c r="M129" s="306"/>
      <c r="N129" s="306"/>
    </row>
    <row r="130" spans="2:14" x14ac:dyDescent="0.25">
      <c r="B130" s="305"/>
      <c r="C130" s="312"/>
      <c r="D130" s="312"/>
      <c r="E130" s="34">
        <v>18</v>
      </c>
      <c r="F130" s="34">
        <v>0</v>
      </c>
      <c r="G130" s="34">
        <v>0</v>
      </c>
      <c r="H130" s="34">
        <v>14</v>
      </c>
      <c r="I130" s="34">
        <v>270</v>
      </c>
      <c r="J130" s="34">
        <v>3</v>
      </c>
      <c r="K130" s="305"/>
      <c r="L130" s="306"/>
      <c r="M130" s="306"/>
      <c r="N130" s="306"/>
    </row>
    <row r="131" spans="2:14" x14ac:dyDescent="0.25">
      <c r="B131" s="305"/>
      <c r="C131" s="315">
        <v>1</v>
      </c>
      <c r="D131" s="315">
        <v>7</v>
      </c>
      <c r="E131" s="35">
        <v>0</v>
      </c>
      <c r="F131" s="35">
        <v>0</v>
      </c>
      <c r="G131" s="35">
        <v>0</v>
      </c>
      <c r="H131" s="35" t="s">
        <v>131</v>
      </c>
      <c r="I131" s="35">
        <v>0</v>
      </c>
      <c r="J131" s="35">
        <v>15</v>
      </c>
      <c r="K131" s="305"/>
      <c r="L131" s="306"/>
      <c r="M131" s="306"/>
      <c r="N131" s="306"/>
    </row>
    <row r="132" spans="2:14" x14ac:dyDescent="0.25">
      <c r="B132" s="305"/>
      <c r="C132" s="318"/>
      <c r="D132" s="318"/>
      <c r="E132" s="43" t="s">
        <v>984</v>
      </c>
      <c r="F132" s="43" t="s">
        <v>984</v>
      </c>
      <c r="G132" s="43" t="s">
        <v>984</v>
      </c>
      <c r="H132" s="43" t="s">
        <v>984</v>
      </c>
      <c r="I132" s="43" t="s">
        <v>984</v>
      </c>
      <c r="J132" s="43" t="s">
        <v>984</v>
      </c>
      <c r="K132" s="305"/>
      <c r="L132" s="306"/>
      <c r="M132" s="306"/>
      <c r="N132" s="306"/>
    </row>
    <row r="133" spans="2:14" x14ac:dyDescent="0.25">
      <c r="B133" s="305"/>
      <c r="C133" s="316"/>
      <c r="D133" s="316"/>
      <c r="E133" s="35">
        <v>6</v>
      </c>
      <c r="F133" s="35">
        <v>0</v>
      </c>
      <c r="G133" s="35">
        <v>0</v>
      </c>
      <c r="H133" s="35" t="s">
        <v>131</v>
      </c>
      <c r="I133" s="35">
        <v>90</v>
      </c>
      <c r="J133" s="35">
        <v>1</v>
      </c>
      <c r="K133" s="305"/>
      <c r="L133" s="306"/>
      <c r="M133" s="306"/>
      <c r="N133" s="306"/>
    </row>
    <row r="134" spans="2:14" x14ac:dyDescent="0.25">
      <c r="B134" s="305"/>
      <c r="C134" s="43" t="s">
        <v>984</v>
      </c>
      <c r="D134" s="43" t="s">
        <v>984</v>
      </c>
      <c r="E134" s="43" t="s">
        <v>984</v>
      </c>
      <c r="F134" s="43" t="s">
        <v>984</v>
      </c>
      <c r="G134" s="43" t="s">
        <v>984</v>
      </c>
      <c r="H134" s="43" t="s">
        <v>984</v>
      </c>
      <c r="I134" s="43" t="s">
        <v>984</v>
      </c>
      <c r="J134" s="43" t="s">
        <v>984</v>
      </c>
      <c r="K134" s="305"/>
      <c r="L134" s="306"/>
      <c r="M134" s="306"/>
      <c r="N134" s="306"/>
    </row>
    <row r="135" spans="2:14" x14ac:dyDescent="0.25">
      <c r="B135" s="305"/>
      <c r="C135" s="315">
        <v>3</v>
      </c>
      <c r="D135" s="315">
        <v>7</v>
      </c>
      <c r="E135" s="35">
        <v>12</v>
      </c>
      <c r="F135" s="35">
        <v>0</v>
      </c>
      <c r="G135" s="35">
        <v>0</v>
      </c>
      <c r="H135" s="35" t="s">
        <v>131</v>
      </c>
      <c r="I135" s="35">
        <v>182</v>
      </c>
      <c r="J135" s="35">
        <v>13</v>
      </c>
      <c r="K135" s="305"/>
      <c r="L135" s="306"/>
      <c r="M135" s="306"/>
      <c r="N135" s="306"/>
    </row>
    <row r="136" spans="2:14" x14ac:dyDescent="0.25">
      <c r="B136" s="305"/>
      <c r="C136" s="318"/>
      <c r="D136" s="318"/>
      <c r="E136" s="43" t="s">
        <v>984</v>
      </c>
      <c r="F136" s="43" t="s">
        <v>984</v>
      </c>
      <c r="G136" s="43" t="s">
        <v>984</v>
      </c>
      <c r="H136" s="43" t="s">
        <v>984</v>
      </c>
      <c r="I136" s="43" t="s">
        <v>984</v>
      </c>
      <c r="J136" s="43" t="s">
        <v>984</v>
      </c>
      <c r="K136" s="305"/>
      <c r="L136" s="306"/>
      <c r="M136" s="306"/>
      <c r="N136" s="306"/>
    </row>
    <row r="137" spans="2:14" x14ac:dyDescent="0.25">
      <c r="B137" s="305"/>
      <c r="C137" s="316"/>
      <c r="D137" s="316"/>
      <c r="E137" s="35">
        <v>18</v>
      </c>
      <c r="F137" s="35">
        <v>0</v>
      </c>
      <c r="G137" s="35">
        <v>0</v>
      </c>
      <c r="H137" s="35" t="s">
        <v>131</v>
      </c>
      <c r="I137" s="35">
        <v>270</v>
      </c>
      <c r="J137" s="35">
        <v>3</v>
      </c>
      <c r="K137" s="305"/>
      <c r="L137" s="306"/>
      <c r="M137" s="306"/>
      <c r="N137" s="306"/>
    </row>
    <row r="138" spans="2:14" x14ac:dyDescent="0.25">
      <c r="B138" s="305">
        <v>20</v>
      </c>
      <c r="C138" s="310">
        <v>1</v>
      </c>
      <c r="D138" s="310">
        <v>19</v>
      </c>
      <c r="E138" s="34">
        <v>0</v>
      </c>
      <c r="F138" s="34">
        <v>0</v>
      </c>
      <c r="G138" s="34">
        <v>0</v>
      </c>
      <c r="H138" s="34">
        <v>1</v>
      </c>
      <c r="I138" s="34">
        <v>0</v>
      </c>
      <c r="J138" s="34">
        <v>15</v>
      </c>
      <c r="K138" s="306" t="s">
        <v>1010</v>
      </c>
      <c r="L138" s="306" t="s">
        <v>988</v>
      </c>
      <c r="M138" s="306" t="s">
        <v>1011</v>
      </c>
      <c r="N138" s="306"/>
    </row>
    <row r="139" spans="2:14" x14ac:dyDescent="0.25">
      <c r="B139" s="305"/>
      <c r="C139" s="311"/>
      <c r="D139" s="311"/>
      <c r="E139" s="34">
        <v>1</v>
      </c>
      <c r="F139" s="34">
        <v>0</v>
      </c>
      <c r="G139" s="34">
        <v>0</v>
      </c>
      <c r="H139" s="34">
        <v>1</v>
      </c>
      <c r="I139" s="34">
        <v>15</v>
      </c>
      <c r="J139" s="34">
        <v>15</v>
      </c>
      <c r="K139" s="305"/>
      <c r="L139" s="306"/>
      <c r="M139" s="306"/>
      <c r="N139" s="306"/>
    </row>
    <row r="140" spans="2:14" x14ac:dyDescent="0.25">
      <c r="B140" s="305"/>
      <c r="C140" s="311"/>
      <c r="D140" s="311"/>
      <c r="E140" s="34" t="s">
        <v>984</v>
      </c>
      <c r="F140" s="34" t="s">
        <v>984</v>
      </c>
      <c r="G140" s="34" t="s">
        <v>984</v>
      </c>
      <c r="H140" s="34" t="s">
        <v>984</v>
      </c>
      <c r="I140" s="34" t="s">
        <v>984</v>
      </c>
      <c r="J140" s="34" t="s">
        <v>984</v>
      </c>
      <c r="K140" s="305"/>
      <c r="L140" s="306"/>
      <c r="M140" s="306"/>
      <c r="N140" s="306"/>
    </row>
    <row r="141" spans="2:14" x14ac:dyDescent="0.25">
      <c r="B141" s="305"/>
      <c r="C141" s="312"/>
      <c r="D141" s="312"/>
      <c r="E141" s="34">
        <v>18</v>
      </c>
      <c r="F141" s="34">
        <v>0</v>
      </c>
      <c r="G141" s="34">
        <v>0</v>
      </c>
      <c r="H141" s="34">
        <v>1</v>
      </c>
      <c r="I141" s="34">
        <v>270</v>
      </c>
      <c r="J141" s="34">
        <v>3</v>
      </c>
      <c r="K141" s="305"/>
      <c r="L141" s="306"/>
      <c r="M141" s="306"/>
      <c r="N141" s="306"/>
    </row>
    <row r="142" spans="2:14" x14ac:dyDescent="0.25">
      <c r="B142" s="305"/>
      <c r="C142" s="315">
        <v>1</v>
      </c>
      <c r="D142" s="315">
        <v>7</v>
      </c>
      <c r="E142" s="35">
        <v>0</v>
      </c>
      <c r="F142" s="35">
        <v>0</v>
      </c>
      <c r="G142" s="35">
        <v>0</v>
      </c>
      <c r="H142" s="35" t="s">
        <v>131</v>
      </c>
      <c r="I142" s="35">
        <v>0</v>
      </c>
      <c r="J142" s="35">
        <v>15</v>
      </c>
      <c r="K142" s="305"/>
      <c r="L142" s="306"/>
      <c r="M142" s="306"/>
      <c r="N142" s="306"/>
    </row>
    <row r="143" spans="2:14" x14ac:dyDescent="0.25">
      <c r="B143" s="305"/>
      <c r="C143" s="318"/>
      <c r="D143" s="318"/>
      <c r="E143" s="43" t="s">
        <v>984</v>
      </c>
      <c r="F143" s="43" t="s">
        <v>984</v>
      </c>
      <c r="G143" s="43" t="s">
        <v>984</v>
      </c>
      <c r="H143" s="43" t="s">
        <v>984</v>
      </c>
      <c r="I143" s="43" t="s">
        <v>984</v>
      </c>
      <c r="J143" s="43" t="s">
        <v>984</v>
      </c>
      <c r="K143" s="305"/>
      <c r="L143" s="306"/>
      <c r="M143" s="306"/>
      <c r="N143" s="306"/>
    </row>
    <row r="144" spans="2:14" x14ac:dyDescent="0.25">
      <c r="B144" s="305"/>
      <c r="C144" s="316"/>
      <c r="D144" s="316"/>
      <c r="E144" s="35">
        <v>6</v>
      </c>
      <c r="F144" s="35">
        <v>0</v>
      </c>
      <c r="G144" s="35">
        <v>0</v>
      </c>
      <c r="H144" s="35" t="s">
        <v>131</v>
      </c>
      <c r="I144" s="35">
        <v>90</v>
      </c>
      <c r="J144" s="35">
        <v>1</v>
      </c>
      <c r="K144" s="305"/>
      <c r="L144" s="306"/>
      <c r="M144" s="306"/>
      <c r="N144" s="306"/>
    </row>
    <row r="145" spans="2:14" x14ac:dyDescent="0.25">
      <c r="B145" s="305"/>
      <c r="C145" s="43" t="s">
        <v>984</v>
      </c>
      <c r="D145" s="43" t="s">
        <v>984</v>
      </c>
      <c r="E145" s="43" t="s">
        <v>984</v>
      </c>
      <c r="F145" s="43" t="s">
        <v>984</v>
      </c>
      <c r="G145" s="43" t="s">
        <v>984</v>
      </c>
      <c r="H145" s="43" t="s">
        <v>984</v>
      </c>
      <c r="I145" s="43" t="s">
        <v>984</v>
      </c>
      <c r="J145" s="43" t="s">
        <v>984</v>
      </c>
      <c r="K145" s="305"/>
      <c r="L145" s="306"/>
      <c r="M145" s="306"/>
      <c r="N145" s="306"/>
    </row>
    <row r="146" spans="2:14" x14ac:dyDescent="0.25">
      <c r="B146" s="305"/>
      <c r="C146" s="315">
        <v>3</v>
      </c>
      <c r="D146" s="315">
        <v>7</v>
      </c>
      <c r="E146" s="35">
        <v>12</v>
      </c>
      <c r="F146" s="35">
        <v>0</v>
      </c>
      <c r="G146" s="35">
        <v>0</v>
      </c>
      <c r="H146" s="35" t="s">
        <v>131</v>
      </c>
      <c r="I146" s="35">
        <v>182</v>
      </c>
      <c r="J146" s="35">
        <v>13</v>
      </c>
      <c r="K146" s="305"/>
      <c r="L146" s="306"/>
      <c r="M146" s="306"/>
      <c r="N146" s="306"/>
    </row>
    <row r="147" spans="2:14" x14ac:dyDescent="0.25">
      <c r="B147" s="305"/>
      <c r="C147" s="318"/>
      <c r="D147" s="318"/>
      <c r="E147" s="43" t="s">
        <v>984</v>
      </c>
      <c r="F147" s="43" t="s">
        <v>984</v>
      </c>
      <c r="G147" s="43" t="s">
        <v>984</v>
      </c>
      <c r="H147" s="43" t="s">
        <v>984</v>
      </c>
      <c r="I147" s="43" t="s">
        <v>984</v>
      </c>
      <c r="J147" s="43" t="s">
        <v>984</v>
      </c>
      <c r="K147" s="305"/>
      <c r="L147" s="306"/>
      <c r="M147" s="306"/>
      <c r="N147" s="306"/>
    </row>
    <row r="148" spans="2:14" x14ac:dyDescent="0.25">
      <c r="B148" s="305"/>
      <c r="C148" s="316"/>
      <c r="D148" s="316"/>
      <c r="E148" s="35">
        <v>18</v>
      </c>
      <c r="F148" s="35">
        <v>0</v>
      </c>
      <c r="G148" s="35">
        <v>0</v>
      </c>
      <c r="H148" s="35" t="s">
        <v>131</v>
      </c>
      <c r="I148" s="35">
        <v>270</v>
      </c>
      <c r="J148" s="35">
        <v>3</v>
      </c>
      <c r="K148" s="305"/>
      <c r="L148" s="306"/>
      <c r="M148" s="306"/>
      <c r="N148" s="306"/>
    </row>
    <row r="149" spans="2:14" x14ac:dyDescent="0.25">
      <c r="B149" s="305">
        <v>21</v>
      </c>
      <c r="C149" s="310">
        <v>1</v>
      </c>
      <c r="D149" s="310">
        <v>7</v>
      </c>
      <c r="E149" s="34">
        <v>0</v>
      </c>
      <c r="F149" s="34">
        <v>0</v>
      </c>
      <c r="G149" s="34">
        <v>1</v>
      </c>
      <c r="H149" s="34">
        <v>2</v>
      </c>
      <c r="I149" s="34">
        <v>0</v>
      </c>
      <c r="J149" s="34">
        <v>273</v>
      </c>
      <c r="K149" s="305" t="s">
        <v>1012</v>
      </c>
      <c r="L149" s="306" t="s">
        <v>991</v>
      </c>
      <c r="M149" s="306" t="s">
        <v>1013</v>
      </c>
      <c r="N149" s="306"/>
    </row>
    <row r="150" spans="2:14" x14ac:dyDescent="0.25">
      <c r="B150" s="305"/>
      <c r="C150" s="311"/>
      <c r="D150" s="311"/>
      <c r="E150" s="34">
        <v>1</v>
      </c>
      <c r="F150" s="34">
        <v>2</v>
      </c>
      <c r="G150" s="34">
        <v>1</v>
      </c>
      <c r="H150" s="34">
        <v>2</v>
      </c>
      <c r="I150" s="34">
        <v>0</v>
      </c>
      <c r="J150" s="34">
        <v>273</v>
      </c>
      <c r="K150" s="305"/>
      <c r="L150" s="306"/>
      <c r="M150" s="306"/>
      <c r="N150" s="306"/>
    </row>
    <row r="151" spans="2:14" x14ac:dyDescent="0.25">
      <c r="B151" s="305"/>
      <c r="C151" s="311"/>
      <c r="D151" s="311"/>
      <c r="E151" s="34" t="s">
        <v>984</v>
      </c>
      <c r="F151" s="34" t="s">
        <v>984</v>
      </c>
      <c r="G151" s="34" t="s">
        <v>984</v>
      </c>
      <c r="H151" s="34" t="s">
        <v>984</v>
      </c>
      <c r="I151" s="34" t="s">
        <v>984</v>
      </c>
      <c r="J151" s="34" t="s">
        <v>984</v>
      </c>
      <c r="K151" s="305"/>
      <c r="L151" s="306"/>
      <c r="M151" s="306"/>
      <c r="N151" s="306"/>
    </row>
    <row r="152" spans="2:14" x14ac:dyDescent="0.25">
      <c r="B152" s="305"/>
      <c r="C152" s="312"/>
      <c r="D152" s="312"/>
      <c r="E152" s="34">
        <v>6</v>
      </c>
      <c r="F152" s="34">
        <v>12</v>
      </c>
      <c r="G152" s="34">
        <v>1</v>
      </c>
      <c r="H152" s="34">
        <v>2</v>
      </c>
      <c r="I152" s="34">
        <v>0</v>
      </c>
      <c r="J152" s="34">
        <v>273</v>
      </c>
      <c r="K152" s="305"/>
      <c r="L152" s="306"/>
      <c r="M152" s="306"/>
      <c r="N152" s="306"/>
    </row>
    <row r="153" spans="2:14" x14ac:dyDescent="0.25">
      <c r="B153" s="305"/>
      <c r="C153" s="35">
        <v>1</v>
      </c>
      <c r="D153" s="35">
        <v>1</v>
      </c>
      <c r="E153" s="35">
        <v>0</v>
      </c>
      <c r="F153" s="35">
        <v>0</v>
      </c>
      <c r="G153" s="35">
        <v>0</v>
      </c>
      <c r="H153" s="35" t="s">
        <v>131</v>
      </c>
      <c r="I153" s="35">
        <v>0</v>
      </c>
      <c r="J153" s="35">
        <v>30</v>
      </c>
      <c r="K153" s="305"/>
      <c r="L153" s="306"/>
      <c r="M153" s="306"/>
      <c r="N153" s="306"/>
    </row>
    <row r="154" spans="2:14" x14ac:dyDescent="0.25">
      <c r="B154" s="305"/>
      <c r="C154" s="35">
        <v>2</v>
      </c>
      <c r="D154" s="35">
        <v>1</v>
      </c>
      <c r="E154" s="35">
        <v>0</v>
      </c>
      <c r="F154" s="35">
        <v>0</v>
      </c>
      <c r="G154" s="35">
        <v>0</v>
      </c>
      <c r="H154" s="35" t="s">
        <v>131</v>
      </c>
      <c r="I154" s="35">
        <v>30</v>
      </c>
      <c r="J154" s="35">
        <v>30</v>
      </c>
      <c r="K154" s="305"/>
      <c r="L154" s="306"/>
      <c r="M154" s="306"/>
      <c r="N154" s="306"/>
    </row>
    <row r="155" spans="2:14" x14ac:dyDescent="0.25">
      <c r="B155" s="305"/>
      <c r="C155" s="43" t="s">
        <v>984</v>
      </c>
      <c r="D155" s="43" t="s">
        <v>984</v>
      </c>
      <c r="E155" s="43" t="s">
        <v>984</v>
      </c>
      <c r="F155" s="43" t="s">
        <v>984</v>
      </c>
      <c r="G155" s="43" t="s">
        <v>984</v>
      </c>
      <c r="H155" s="43" t="s">
        <v>984</v>
      </c>
      <c r="I155" s="43" t="s">
        <v>984</v>
      </c>
      <c r="J155" s="43" t="s">
        <v>984</v>
      </c>
      <c r="K155" s="305"/>
      <c r="L155" s="306"/>
      <c r="M155" s="306"/>
      <c r="N155" s="306"/>
    </row>
    <row r="156" spans="2:14" x14ac:dyDescent="0.25">
      <c r="B156" s="305"/>
      <c r="C156" s="35">
        <v>10</v>
      </c>
      <c r="D156" s="35">
        <v>1</v>
      </c>
      <c r="E156" s="35">
        <v>0</v>
      </c>
      <c r="F156" s="35">
        <v>0</v>
      </c>
      <c r="G156" s="35">
        <v>0</v>
      </c>
      <c r="H156" s="35" t="s">
        <v>131</v>
      </c>
      <c r="I156" s="35">
        <v>270</v>
      </c>
      <c r="J156" s="35">
        <v>3</v>
      </c>
      <c r="K156" s="305"/>
      <c r="L156" s="306"/>
      <c r="M156" s="306"/>
      <c r="N156" s="306"/>
    </row>
    <row r="157" spans="2:14" x14ac:dyDescent="0.25">
      <c r="B157" s="305"/>
      <c r="C157" s="43" t="s">
        <v>984</v>
      </c>
      <c r="D157" s="43" t="s">
        <v>984</v>
      </c>
      <c r="E157" s="43" t="s">
        <v>984</v>
      </c>
      <c r="F157" s="43" t="s">
        <v>984</v>
      </c>
      <c r="G157" s="43" t="s">
        <v>984</v>
      </c>
      <c r="H157" s="43" t="s">
        <v>984</v>
      </c>
      <c r="I157" s="43" t="s">
        <v>984</v>
      </c>
      <c r="J157" s="43" t="s">
        <v>984</v>
      </c>
      <c r="K157" s="305"/>
      <c r="L157" s="306"/>
      <c r="M157" s="306"/>
      <c r="N157" s="306"/>
    </row>
    <row r="158" spans="2:14" x14ac:dyDescent="0.25">
      <c r="B158" s="305"/>
      <c r="C158" s="35">
        <v>131</v>
      </c>
      <c r="D158" s="35">
        <v>1</v>
      </c>
      <c r="E158" s="35">
        <v>6</v>
      </c>
      <c r="F158" s="35">
        <v>13</v>
      </c>
      <c r="G158" s="35">
        <v>0</v>
      </c>
      <c r="H158" s="35" t="s">
        <v>131</v>
      </c>
      <c r="I158" s="35">
        <v>0</v>
      </c>
      <c r="J158" s="35">
        <v>30</v>
      </c>
      <c r="K158" s="305"/>
      <c r="L158" s="306"/>
      <c r="M158" s="306"/>
      <c r="N158" s="306"/>
    </row>
    <row r="159" spans="2:14" x14ac:dyDescent="0.25">
      <c r="B159" s="305"/>
      <c r="C159" s="35">
        <v>132</v>
      </c>
      <c r="D159" s="35">
        <v>1</v>
      </c>
      <c r="E159" s="35">
        <v>6</v>
      </c>
      <c r="F159" s="35">
        <v>13</v>
      </c>
      <c r="G159" s="35">
        <v>0</v>
      </c>
      <c r="H159" s="35" t="s">
        <v>131</v>
      </c>
      <c r="I159" s="35">
        <v>30</v>
      </c>
      <c r="J159" s="35">
        <v>30</v>
      </c>
      <c r="K159" s="305"/>
      <c r="L159" s="306"/>
      <c r="M159" s="306"/>
      <c r="N159" s="306"/>
    </row>
    <row r="160" spans="2:14" x14ac:dyDescent="0.25">
      <c r="B160" s="305"/>
      <c r="C160" s="43" t="s">
        <v>984</v>
      </c>
      <c r="D160" s="43" t="s">
        <v>984</v>
      </c>
      <c r="E160" s="43" t="s">
        <v>984</v>
      </c>
      <c r="F160" s="43" t="s">
        <v>984</v>
      </c>
      <c r="G160" s="43" t="s">
        <v>984</v>
      </c>
      <c r="H160" s="43" t="s">
        <v>984</v>
      </c>
      <c r="I160" s="43" t="s">
        <v>984</v>
      </c>
      <c r="J160" s="43" t="s">
        <v>984</v>
      </c>
      <c r="K160" s="305"/>
      <c r="L160" s="306"/>
      <c r="M160" s="306"/>
      <c r="N160" s="306"/>
    </row>
    <row r="161" spans="2:14" x14ac:dyDescent="0.25">
      <c r="B161" s="305"/>
      <c r="C161" s="35">
        <v>140</v>
      </c>
      <c r="D161" s="35">
        <v>1</v>
      </c>
      <c r="E161" s="35">
        <v>6</v>
      </c>
      <c r="F161" s="35">
        <v>13</v>
      </c>
      <c r="G161" s="35">
        <v>0</v>
      </c>
      <c r="H161" s="35" t="s">
        <v>131</v>
      </c>
      <c r="I161" s="35">
        <v>270</v>
      </c>
      <c r="J161" s="35">
        <v>3</v>
      </c>
      <c r="K161" s="305"/>
      <c r="L161" s="306"/>
      <c r="M161" s="306"/>
      <c r="N161" s="306"/>
    </row>
    <row r="162" spans="2:14" x14ac:dyDescent="0.25">
      <c r="B162" s="305">
        <v>22</v>
      </c>
      <c r="C162" s="310">
        <v>1</v>
      </c>
      <c r="D162" s="310">
        <v>19</v>
      </c>
      <c r="E162" s="34">
        <v>0</v>
      </c>
      <c r="F162" s="34">
        <v>0</v>
      </c>
      <c r="G162" s="34">
        <v>0</v>
      </c>
      <c r="H162" s="34">
        <v>1</v>
      </c>
      <c r="I162" s="34">
        <v>15</v>
      </c>
      <c r="J162" s="34">
        <v>15</v>
      </c>
      <c r="K162" s="306" t="s">
        <v>1014</v>
      </c>
      <c r="L162" s="306" t="s">
        <v>994</v>
      </c>
      <c r="M162" s="306" t="s">
        <v>1015</v>
      </c>
      <c r="N162" s="306"/>
    </row>
    <row r="163" spans="2:14" x14ac:dyDescent="0.25">
      <c r="B163" s="305"/>
      <c r="C163" s="311"/>
      <c r="D163" s="311"/>
      <c r="E163" s="34">
        <v>1</v>
      </c>
      <c r="F163" s="34">
        <v>0</v>
      </c>
      <c r="G163" s="34">
        <v>0</v>
      </c>
      <c r="H163" s="34">
        <v>1</v>
      </c>
      <c r="I163" s="34">
        <v>0</v>
      </c>
      <c r="J163" s="34">
        <v>15</v>
      </c>
      <c r="K163" s="305"/>
      <c r="L163" s="306"/>
      <c r="M163" s="306"/>
      <c r="N163" s="306"/>
    </row>
    <row r="164" spans="2:14" x14ac:dyDescent="0.25">
      <c r="B164" s="305"/>
      <c r="C164" s="311"/>
      <c r="D164" s="311"/>
      <c r="E164" s="34" t="s">
        <v>984</v>
      </c>
      <c r="F164" s="34" t="s">
        <v>984</v>
      </c>
      <c r="G164" s="34" t="s">
        <v>984</v>
      </c>
      <c r="H164" s="34" t="s">
        <v>984</v>
      </c>
      <c r="I164" s="34" t="s">
        <v>984</v>
      </c>
      <c r="J164" s="34" t="s">
        <v>984</v>
      </c>
      <c r="K164" s="305"/>
      <c r="L164" s="306"/>
      <c r="M164" s="306"/>
      <c r="N164" s="306"/>
    </row>
    <row r="165" spans="2:14" x14ac:dyDescent="0.25">
      <c r="B165" s="305"/>
      <c r="C165" s="312"/>
      <c r="D165" s="312"/>
      <c r="E165" s="34">
        <v>18</v>
      </c>
      <c r="F165" s="34">
        <v>0</v>
      </c>
      <c r="G165" s="34">
        <v>0</v>
      </c>
      <c r="H165" s="34">
        <v>1</v>
      </c>
      <c r="I165" s="34">
        <v>270</v>
      </c>
      <c r="J165" s="34">
        <v>3</v>
      </c>
      <c r="K165" s="305"/>
      <c r="L165" s="306"/>
      <c r="M165" s="306"/>
      <c r="N165" s="306"/>
    </row>
    <row r="166" spans="2:14" x14ac:dyDescent="0.25">
      <c r="B166" s="305"/>
      <c r="C166" s="315">
        <v>1</v>
      </c>
      <c r="D166" s="315">
        <v>7</v>
      </c>
      <c r="E166" s="35">
        <v>0</v>
      </c>
      <c r="F166" s="35">
        <v>0</v>
      </c>
      <c r="G166" s="35">
        <v>0</v>
      </c>
      <c r="H166" s="35" t="s">
        <v>131</v>
      </c>
      <c r="I166" s="35">
        <v>0</v>
      </c>
      <c r="J166" s="35">
        <v>15</v>
      </c>
      <c r="K166" s="305"/>
      <c r="L166" s="306"/>
      <c r="M166" s="306"/>
      <c r="N166" s="306"/>
    </row>
    <row r="167" spans="2:14" x14ac:dyDescent="0.25">
      <c r="B167" s="305"/>
      <c r="C167" s="318"/>
      <c r="D167" s="318"/>
      <c r="E167" s="43" t="s">
        <v>984</v>
      </c>
      <c r="F167" s="43" t="s">
        <v>984</v>
      </c>
      <c r="G167" s="43" t="s">
        <v>984</v>
      </c>
      <c r="H167" s="43" t="s">
        <v>984</v>
      </c>
      <c r="I167" s="43" t="s">
        <v>984</v>
      </c>
      <c r="J167" s="43" t="s">
        <v>984</v>
      </c>
      <c r="K167" s="305"/>
      <c r="L167" s="306"/>
      <c r="M167" s="306"/>
      <c r="N167" s="306"/>
    </row>
    <row r="168" spans="2:14" x14ac:dyDescent="0.25">
      <c r="B168" s="305"/>
      <c r="C168" s="316"/>
      <c r="D168" s="316"/>
      <c r="E168" s="35">
        <v>6</v>
      </c>
      <c r="F168" s="35">
        <v>0</v>
      </c>
      <c r="G168" s="35">
        <v>0</v>
      </c>
      <c r="H168" s="35" t="s">
        <v>131</v>
      </c>
      <c r="I168" s="35">
        <v>90</v>
      </c>
      <c r="J168" s="35">
        <v>1</v>
      </c>
      <c r="K168" s="305"/>
      <c r="L168" s="306"/>
      <c r="M168" s="306"/>
      <c r="N168" s="306"/>
    </row>
    <row r="169" spans="2:14" x14ac:dyDescent="0.25">
      <c r="B169" s="305"/>
      <c r="C169" s="43" t="s">
        <v>984</v>
      </c>
      <c r="D169" s="43" t="s">
        <v>984</v>
      </c>
      <c r="E169" s="43" t="s">
        <v>984</v>
      </c>
      <c r="F169" s="43" t="s">
        <v>984</v>
      </c>
      <c r="G169" s="43" t="s">
        <v>984</v>
      </c>
      <c r="H169" s="43" t="s">
        <v>984</v>
      </c>
      <c r="I169" s="43" t="s">
        <v>984</v>
      </c>
      <c r="J169" s="43" t="s">
        <v>984</v>
      </c>
      <c r="K169" s="305"/>
      <c r="L169" s="306"/>
      <c r="M169" s="306"/>
      <c r="N169" s="306"/>
    </row>
    <row r="170" spans="2:14" x14ac:dyDescent="0.25">
      <c r="B170" s="305"/>
      <c r="C170" s="315">
        <v>3</v>
      </c>
      <c r="D170" s="315">
        <v>7</v>
      </c>
      <c r="E170" s="35">
        <v>12</v>
      </c>
      <c r="F170" s="35">
        <v>0</v>
      </c>
      <c r="G170" s="35">
        <v>0</v>
      </c>
      <c r="H170" s="35" t="s">
        <v>131</v>
      </c>
      <c r="I170" s="35">
        <v>182</v>
      </c>
      <c r="J170" s="35">
        <v>13</v>
      </c>
      <c r="K170" s="305"/>
      <c r="L170" s="306"/>
      <c r="M170" s="306"/>
      <c r="N170" s="306"/>
    </row>
    <row r="171" spans="2:14" x14ac:dyDescent="0.25">
      <c r="B171" s="305"/>
      <c r="C171" s="318"/>
      <c r="D171" s="318"/>
      <c r="E171" s="43" t="s">
        <v>984</v>
      </c>
      <c r="F171" s="43" t="s">
        <v>984</v>
      </c>
      <c r="G171" s="43" t="s">
        <v>984</v>
      </c>
      <c r="H171" s="43" t="s">
        <v>984</v>
      </c>
      <c r="I171" s="43" t="s">
        <v>984</v>
      </c>
      <c r="J171" s="43" t="s">
        <v>984</v>
      </c>
      <c r="K171" s="305"/>
      <c r="L171" s="306"/>
      <c r="M171" s="306"/>
      <c r="N171" s="306"/>
    </row>
    <row r="172" spans="2:14" x14ac:dyDescent="0.25">
      <c r="B172" s="305"/>
      <c r="C172" s="316"/>
      <c r="D172" s="316"/>
      <c r="E172" s="35">
        <v>18</v>
      </c>
      <c r="F172" s="35">
        <v>0</v>
      </c>
      <c r="G172" s="35">
        <v>0</v>
      </c>
      <c r="H172" s="35" t="s">
        <v>131</v>
      </c>
      <c r="I172" s="35">
        <v>270</v>
      </c>
      <c r="J172" s="35">
        <v>3</v>
      </c>
      <c r="K172" s="305"/>
      <c r="L172" s="306"/>
      <c r="M172" s="306"/>
      <c r="N172" s="306"/>
    </row>
    <row r="173" spans="2:14" x14ac:dyDescent="0.25">
      <c r="B173" s="305">
        <v>23</v>
      </c>
      <c r="C173" s="310">
        <v>1</v>
      </c>
      <c r="D173" s="310">
        <v>13</v>
      </c>
      <c r="E173" s="34">
        <v>0</v>
      </c>
      <c r="F173" s="34">
        <v>0</v>
      </c>
      <c r="G173" s="34">
        <v>0</v>
      </c>
      <c r="H173" s="34">
        <v>1</v>
      </c>
      <c r="I173" s="34">
        <v>0</v>
      </c>
      <c r="J173" s="34">
        <v>15</v>
      </c>
      <c r="K173" s="306" t="s">
        <v>1016</v>
      </c>
      <c r="L173" s="306" t="s">
        <v>988</v>
      </c>
      <c r="M173" s="306" t="s">
        <v>1017</v>
      </c>
      <c r="N173" s="306"/>
    </row>
    <row r="174" spans="2:14" x14ac:dyDescent="0.25">
      <c r="B174" s="305"/>
      <c r="C174" s="311"/>
      <c r="D174" s="311"/>
      <c r="E174" s="34">
        <v>1</v>
      </c>
      <c r="F174" s="34">
        <v>0</v>
      </c>
      <c r="G174" s="34">
        <v>0</v>
      </c>
      <c r="H174" s="34">
        <v>1</v>
      </c>
      <c r="I174" s="34">
        <v>30</v>
      </c>
      <c r="J174" s="34">
        <v>15</v>
      </c>
      <c r="K174" s="305"/>
      <c r="L174" s="306"/>
      <c r="M174" s="306"/>
      <c r="N174" s="306"/>
    </row>
    <row r="175" spans="2:14" x14ac:dyDescent="0.25">
      <c r="B175" s="305"/>
      <c r="C175" s="311"/>
      <c r="D175" s="311"/>
      <c r="E175" s="34" t="s">
        <v>984</v>
      </c>
      <c r="F175" s="34" t="s">
        <v>984</v>
      </c>
      <c r="G175" s="34" t="s">
        <v>984</v>
      </c>
      <c r="H175" s="34" t="s">
        <v>984</v>
      </c>
      <c r="I175" s="34" t="s">
        <v>984</v>
      </c>
      <c r="J175" s="34" t="s">
        <v>984</v>
      </c>
      <c r="K175" s="305"/>
      <c r="L175" s="306"/>
      <c r="M175" s="306"/>
      <c r="N175" s="306"/>
    </row>
    <row r="176" spans="2:14" x14ac:dyDescent="0.25">
      <c r="B176" s="305"/>
      <c r="C176" s="312"/>
      <c r="D176" s="312"/>
      <c r="E176" s="34">
        <v>12</v>
      </c>
      <c r="F176" s="34">
        <v>0</v>
      </c>
      <c r="G176" s="34">
        <v>0</v>
      </c>
      <c r="H176" s="34">
        <v>1</v>
      </c>
      <c r="I176" s="34">
        <v>270</v>
      </c>
      <c r="J176" s="34">
        <v>3</v>
      </c>
      <c r="K176" s="305"/>
      <c r="L176" s="306"/>
      <c r="M176" s="306"/>
      <c r="N176" s="306"/>
    </row>
    <row r="177" spans="2:14" x14ac:dyDescent="0.25">
      <c r="B177" s="305"/>
      <c r="C177" s="315">
        <v>1</v>
      </c>
      <c r="D177" s="315">
        <v>7</v>
      </c>
      <c r="E177" s="35">
        <v>0</v>
      </c>
      <c r="F177" s="35">
        <v>0</v>
      </c>
      <c r="G177" s="35">
        <v>0</v>
      </c>
      <c r="H177" s="35" t="s">
        <v>131</v>
      </c>
      <c r="I177" s="35">
        <v>0</v>
      </c>
      <c r="J177" s="35">
        <v>15</v>
      </c>
      <c r="K177" s="305"/>
      <c r="L177" s="306"/>
      <c r="M177" s="306"/>
      <c r="N177" s="306"/>
    </row>
    <row r="178" spans="2:14" x14ac:dyDescent="0.25">
      <c r="B178" s="305"/>
      <c r="C178" s="318"/>
      <c r="D178" s="318"/>
      <c r="E178" s="43" t="s">
        <v>984</v>
      </c>
      <c r="F178" s="43" t="s">
        <v>984</v>
      </c>
      <c r="G178" s="43" t="s">
        <v>984</v>
      </c>
      <c r="H178" s="43" t="s">
        <v>984</v>
      </c>
      <c r="I178" s="43" t="s">
        <v>984</v>
      </c>
      <c r="J178" s="43" t="s">
        <v>984</v>
      </c>
      <c r="K178" s="305"/>
      <c r="L178" s="306"/>
      <c r="M178" s="306"/>
      <c r="N178" s="306"/>
    </row>
    <row r="179" spans="2:14" x14ac:dyDescent="0.25">
      <c r="B179" s="305"/>
      <c r="C179" s="316"/>
      <c r="D179" s="316"/>
      <c r="E179" s="35">
        <v>6</v>
      </c>
      <c r="F179" s="35">
        <v>0</v>
      </c>
      <c r="G179" s="35">
        <v>0</v>
      </c>
      <c r="H179" s="35" t="s">
        <v>131</v>
      </c>
      <c r="I179" s="35">
        <v>135</v>
      </c>
      <c r="J179" s="35">
        <v>1</v>
      </c>
      <c r="K179" s="305"/>
      <c r="L179" s="306"/>
      <c r="M179" s="306"/>
      <c r="N179" s="306"/>
    </row>
    <row r="180" spans="2:14" x14ac:dyDescent="0.25">
      <c r="B180" s="305"/>
      <c r="C180" s="315">
        <v>2</v>
      </c>
      <c r="D180" s="315">
        <v>7</v>
      </c>
      <c r="E180" s="35">
        <v>6</v>
      </c>
      <c r="F180" s="35">
        <v>0</v>
      </c>
      <c r="G180" s="35">
        <v>0</v>
      </c>
      <c r="H180" s="35" t="s">
        <v>131</v>
      </c>
      <c r="I180" s="35">
        <v>136</v>
      </c>
      <c r="J180" s="35">
        <v>14</v>
      </c>
      <c r="K180" s="305"/>
      <c r="L180" s="306"/>
      <c r="M180" s="306"/>
      <c r="N180" s="306"/>
    </row>
    <row r="181" spans="2:14" x14ac:dyDescent="0.25">
      <c r="B181" s="305"/>
      <c r="C181" s="318"/>
      <c r="D181" s="318"/>
      <c r="E181" s="43" t="s">
        <v>984</v>
      </c>
      <c r="F181" s="43" t="s">
        <v>984</v>
      </c>
      <c r="G181" s="43" t="s">
        <v>984</v>
      </c>
      <c r="H181" s="43" t="s">
        <v>984</v>
      </c>
      <c r="I181" s="43" t="s">
        <v>984</v>
      </c>
      <c r="J181" s="43" t="s">
        <v>984</v>
      </c>
      <c r="K181" s="305"/>
      <c r="L181" s="306"/>
      <c r="M181" s="306"/>
      <c r="N181" s="306"/>
    </row>
    <row r="182" spans="2:14" x14ac:dyDescent="0.25">
      <c r="B182" s="305"/>
      <c r="C182" s="316"/>
      <c r="D182" s="316"/>
      <c r="E182" s="35">
        <v>18</v>
      </c>
      <c r="F182" s="35">
        <v>0</v>
      </c>
      <c r="G182" s="35">
        <v>0</v>
      </c>
      <c r="H182" s="35" t="s">
        <v>131</v>
      </c>
      <c r="I182" s="35">
        <v>270</v>
      </c>
      <c r="J182" s="35">
        <v>3</v>
      </c>
      <c r="K182" s="305"/>
      <c r="L182" s="306"/>
      <c r="M182" s="306"/>
      <c r="N182" s="306"/>
    </row>
    <row r="183" spans="2:14" x14ac:dyDescent="0.25">
      <c r="B183" s="305">
        <v>24</v>
      </c>
      <c r="C183" s="310">
        <v>1</v>
      </c>
      <c r="D183" s="310">
        <v>13</v>
      </c>
      <c r="E183" s="34">
        <v>0</v>
      </c>
      <c r="F183" s="34">
        <v>0</v>
      </c>
      <c r="G183" s="34">
        <v>0</v>
      </c>
      <c r="H183" s="34">
        <v>1</v>
      </c>
      <c r="I183" s="34">
        <v>30</v>
      </c>
      <c r="J183" s="34">
        <v>15</v>
      </c>
      <c r="K183" s="306" t="s">
        <v>1018</v>
      </c>
      <c r="L183" s="306" t="s">
        <v>994</v>
      </c>
      <c r="M183" s="306" t="s">
        <v>1019</v>
      </c>
      <c r="N183" s="306"/>
    </row>
    <row r="184" spans="2:14" x14ac:dyDescent="0.25">
      <c r="B184" s="305"/>
      <c r="C184" s="311"/>
      <c r="D184" s="311"/>
      <c r="E184" s="34">
        <v>1</v>
      </c>
      <c r="F184" s="34">
        <v>0</v>
      </c>
      <c r="G184" s="34">
        <v>0</v>
      </c>
      <c r="H184" s="34">
        <v>1</v>
      </c>
      <c r="I184" s="34">
        <v>0</v>
      </c>
      <c r="J184" s="34">
        <v>15</v>
      </c>
      <c r="K184" s="305"/>
      <c r="L184" s="306"/>
      <c r="M184" s="306"/>
      <c r="N184" s="306"/>
    </row>
    <row r="185" spans="2:14" x14ac:dyDescent="0.25">
      <c r="B185" s="305"/>
      <c r="C185" s="311"/>
      <c r="D185" s="311"/>
      <c r="E185" s="34" t="s">
        <v>984</v>
      </c>
      <c r="F185" s="34" t="s">
        <v>984</v>
      </c>
      <c r="G185" s="34" t="s">
        <v>984</v>
      </c>
      <c r="H185" s="34" t="s">
        <v>984</v>
      </c>
      <c r="I185" s="34" t="s">
        <v>984</v>
      </c>
      <c r="J185" s="34" t="s">
        <v>984</v>
      </c>
      <c r="K185" s="305"/>
      <c r="L185" s="306"/>
      <c r="M185" s="306"/>
      <c r="N185" s="306"/>
    </row>
    <row r="186" spans="2:14" x14ac:dyDescent="0.25">
      <c r="B186" s="305"/>
      <c r="C186" s="312"/>
      <c r="D186" s="312"/>
      <c r="E186" s="34">
        <v>12</v>
      </c>
      <c r="F186" s="34">
        <v>0</v>
      </c>
      <c r="G186" s="34">
        <v>0</v>
      </c>
      <c r="H186" s="34">
        <v>1</v>
      </c>
      <c r="I186" s="34">
        <v>255</v>
      </c>
      <c r="J186" s="34">
        <v>15</v>
      </c>
      <c r="K186" s="305"/>
      <c r="L186" s="306"/>
      <c r="M186" s="306"/>
      <c r="N186" s="306"/>
    </row>
    <row r="187" spans="2:14" x14ac:dyDescent="0.25">
      <c r="B187" s="305"/>
      <c r="C187" s="315">
        <v>1</v>
      </c>
      <c r="D187" s="315">
        <v>7</v>
      </c>
      <c r="E187" s="35">
        <v>0</v>
      </c>
      <c r="F187" s="35">
        <v>0</v>
      </c>
      <c r="G187" s="35">
        <v>0</v>
      </c>
      <c r="H187" s="35" t="s">
        <v>131</v>
      </c>
      <c r="I187" s="35">
        <v>0</v>
      </c>
      <c r="J187" s="35">
        <v>15</v>
      </c>
      <c r="K187" s="305"/>
      <c r="L187" s="306"/>
      <c r="M187" s="306"/>
      <c r="N187" s="306"/>
    </row>
    <row r="188" spans="2:14" x14ac:dyDescent="0.25">
      <c r="B188" s="305"/>
      <c r="C188" s="318"/>
      <c r="D188" s="318"/>
      <c r="E188" s="43" t="s">
        <v>984</v>
      </c>
      <c r="F188" s="43" t="s">
        <v>984</v>
      </c>
      <c r="G188" s="43" t="s">
        <v>984</v>
      </c>
      <c r="H188" s="43" t="s">
        <v>984</v>
      </c>
      <c r="I188" s="43" t="s">
        <v>984</v>
      </c>
      <c r="J188" s="43" t="s">
        <v>984</v>
      </c>
      <c r="K188" s="305"/>
      <c r="L188" s="306"/>
      <c r="M188" s="306"/>
      <c r="N188" s="306"/>
    </row>
    <row r="189" spans="2:14" x14ac:dyDescent="0.25">
      <c r="B189" s="305"/>
      <c r="C189" s="316"/>
      <c r="D189" s="316"/>
      <c r="E189" s="35">
        <v>6</v>
      </c>
      <c r="F189" s="35">
        <v>0</v>
      </c>
      <c r="G189" s="35">
        <v>0</v>
      </c>
      <c r="H189" s="35" t="s">
        <v>131</v>
      </c>
      <c r="I189" s="35">
        <v>135</v>
      </c>
      <c r="J189" s="35">
        <v>1</v>
      </c>
      <c r="K189" s="305"/>
      <c r="L189" s="306"/>
      <c r="M189" s="306"/>
      <c r="N189" s="306"/>
    </row>
    <row r="190" spans="2:14" x14ac:dyDescent="0.25">
      <c r="B190" s="305"/>
      <c r="C190" s="315">
        <v>2</v>
      </c>
      <c r="D190" s="315">
        <v>7</v>
      </c>
      <c r="E190" s="35">
        <v>6</v>
      </c>
      <c r="F190" s="35">
        <v>0</v>
      </c>
      <c r="G190" s="35">
        <v>0</v>
      </c>
      <c r="H190" s="35" t="s">
        <v>131</v>
      </c>
      <c r="I190" s="35">
        <v>136</v>
      </c>
      <c r="J190" s="35">
        <v>14</v>
      </c>
      <c r="K190" s="305"/>
      <c r="L190" s="306"/>
      <c r="M190" s="306"/>
      <c r="N190" s="306"/>
    </row>
    <row r="191" spans="2:14" x14ac:dyDescent="0.25">
      <c r="B191" s="305"/>
      <c r="C191" s="318"/>
      <c r="D191" s="318"/>
      <c r="E191" s="43" t="s">
        <v>984</v>
      </c>
      <c r="F191" s="43" t="s">
        <v>984</v>
      </c>
      <c r="G191" s="43" t="s">
        <v>984</v>
      </c>
      <c r="H191" s="43" t="s">
        <v>984</v>
      </c>
      <c r="I191" s="43" t="s">
        <v>984</v>
      </c>
      <c r="J191" s="43" t="s">
        <v>984</v>
      </c>
      <c r="K191" s="305"/>
      <c r="L191" s="306"/>
      <c r="M191" s="306"/>
      <c r="N191" s="306"/>
    </row>
    <row r="192" spans="2:14" x14ac:dyDescent="0.25">
      <c r="B192" s="305"/>
      <c r="C192" s="316"/>
      <c r="D192" s="316"/>
      <c r="E192" s="35">
        <v>18</v>
      </c>
      <c r="F192" s="35">
        <v>0</v>
      </c>
      <c r="G192" s="35">
        <v>0</v>
      </c>
      <c r="H192" s="35" t="s">
        <v>131</v>
      </c>
      <c r="I192" s="35">
        <v>270</v>
      </c>
      <c r="J192" s="35">
        <v>3</v>
      </c>
      <c r="K192" s="305"/>
      <c r="L192" s="306"/>
      <c r="M192" s="306"/>
      <c r="N192" s="306"/>
    </row>
    <row r="193" spans="2:14" x14ac:dyDescent="0.25">
      <c r="B193" s="305" t="s">
        <v>1020</v>
      </c>
      <c r="C193" s="34">
        <v>1</v>
      </c>
      <c r="D193" s="34">
        <v>1</v>
      </c>
      <c r="E193" s="34">
        <v>0</v>
      </c>
      <c r="F193" s="34">
        <v>0</v>
      </c>
      <c r="G193" s="34">
        <v>0</v>
      </c>
      <c r="H193" s="34">
        <v>14</v>
      </c>
      <c r="I193" s="34">
        <v>0</v>
      </c>
      <c r="J193" s="34">
        <v>273</v>
      </c>
      <c r="K193" s="305" t="s">
        <v>1021</v>
      </c>
      <c r="L193" s="306" t="s">
        <v>1022</v>
      </c>
      <c r="M193" s="306" t="s">
        <v>1023</v>
      </c>
      <c r="N193" s="306"/>
    </row>
    <row r="194" spans="2:14" x14ac:dyDescent="0.25">
      <c r="B194" s="305"/>
      <c r="C194" s="35">
        <v>1</v>
      </c>
      <c r="D194" s="35">
        <v>1</v>
      </c>
      <c r="E194" s="35">
        <v>0</v>
      </c>
      <c r="F194" s="35">
        <v>0</v>
      </c>
      <c r="G194" s="35">
        <v>0</v>
      </c>
      <c r="H194" s="35" t="s">
        <v>131</v>
      </c>
      <c r="I194" s="35">
        <v>0</v>
      </c>
      <c r="J194" s="35">
        <v>52</v>
      </c>
      <c r="K194" s="305"/>
      <c r="L194" s="306"/>
      <c r="M194" s="306"/>
      <c r="N194" s="306"/>
    </row>
    <row r="195" spans="2:14" x14ac:dyDescent="0.25">
      <c r="B195" s="305"/>
      <c r="C195" s="35">
        <v>2</v>
      </c>
      <c r="D195" s="35">
        <v>1</v>
      </c>
      <c r="E195" s="35">
        <v>0</v>
      </c>
      <c r="F195" s="35">
        <v>0</v>
      </c>
      <c r="G195" s="35">
        <v>0</v>
      </c>
      <c r="H195" s="35" t="s">
        <v>131</v>
      </c>
      <c r="I195" s="35">
        <v>52</v>
      </c>
      <c r="J195" s="35">
        <v>52</v>
      </c>
      <c r="K195" s="305"/>
      <c r="L195" s="306"/>
      <c r="M195" s="306"/>
      <c r="N195" s="306"/>
    </row>
    <row r="196" spans="2:14" x14ac:dyDescent="0.25">
      <c r="B196" s="305"/>
      <c r="C196" s="43" t="s">
        <v>984</v>
      </c>
      <c r="D196" s="43" t="s">
        <v>984</v>
      </c>
      <c r="E196" s="43" t="s">
        <v>984</v>
      </c>
      <c r="F196" s="43" t="s">
        <v>984</v>
      </c>
      <c r="G196" s="43" t="s">
        <v>984</v>
      </c>
      <c r="H196" s="43" t="s">
        <v>984</v>
      </c>
      <c r="I196" s="43" t="s">
        <v>984</v>
      </c>
      <c r="J196" s="43" t="s">
        <v>984</v>
      </c>
      <c r="K196" s="305"/>
      <c r="L196" s="306"/>
      <c r="M196" s="306"/>
      <c r="N196" s="306"/>
    </row>
    <row r="197" spans="2:14" x14ac:dyDescent="0.25">
      <c r="B197" s="305"/>
      <c r="C197" s="35">
        <v>6</v>
      </c>
      <c r="D197" s="35">
        <v>1</v>
      </c>
      <c r="E197" s="35">
        <v>0</v>
      </c>
      <c r="F197" s="35">
        <v>0</v>
      </c>
      <c r="G197" s="35">
        <v>0</v>
      </c>
      <c r="H197" s="35" t="s">
        <v>131</v>
      </c>
      <c r="I197" s="35">
        <v>260</v>
      </c>
      <c r="J197" s="35">
        <v>13</v>
      </c>
      <c r="K197" s="305"/>
      <c r="L197" s="306"/>
      <c r="M197" s="306"/>
      <c r="N197" s="306"/>
    </row>
    <row r="198" spans="2:14" x14ac:dyDescent="0.25">
      <c r="B198" s="305"/>
      <c r="C198" s="43" t="s">
        <v>984</v>
      </c>
      <c r="D198" s="43" t="s">
        <v>984</v>
      </c>
      <c r="E198" s="43" t="s">
        <v>984</v>
      </c>
      <c r="F198" s="43" t="s">
        <v>984</v>
      </c>
      <c r="G198" s="43" t="s">
        <v>984</v>
      </c>
      <c r="H198" s="43" t="s">
        <v>984</v>
      </c>
      <c r="I198" s="43" t="s">
        <v>984</v>
      </c>
      <c r="J198" s="43" t="s">
        <v>984</v>
      </c>
      <c r="K198" s="305"/>
      <c r="L198" s="306"/>
      <c r="M198" s="306"/>
      <c r="N198" s="306"/>
    </row>
    <row r="199" spans="2:14" x14ac:dyDescent="0.25">
      <c r="B199" s="305"/>
      <c r="C199" s="35">
        <v>79</v>
      </c>
      <c r="D199" s="35">
        <v>1</v>
      </c>
      <c r="E199" s="35">
        <v>0</v>
      </c>
      <c r="F199" s="35">
        <v>13</v>
      </c>
      <c r="G199" s="35">
        <v>0</v>
      </c>
      <c r="H199" s="35" t="s">
        <v>131</v>
      </c>
      <c r="I199" s="35">
        <v>0</v>
      </c>
      <c r="J199" s="35">
        <v>52</v>
      </c>
      <c r="K199" s="305"/>
      <c r="L199" s="306"/>
      <c r="M199" s="306"/>
      <c r="N199" s="306"/>
    </row>
    <row r="200" spans="2:14" x14ac:dyDescent="0.25">
      <c r="B200" s="305"/>
      <c r="C200" s="35">
        <v>80</v>
      </c>
      <c r="D200" s="35">
        <v>1</v>
      </c>
      <c r="E200" s="35">
        <v>0</v>
      </c>
      <c r="F200" s="35">
        <v>13</v>
      </c>
      <c r="G200" s="35">
        <v>0</v>
      </c>
      <c r="H200" s="35" t="s">
        <v>131</v>
      </c>
      <c r="I200" s="35">
        <v>52</v>
      </c>
      <c r="J200" s="35">
        <v>52</v>
      </c>
      <c r="K200" s="305"/>
      <c r="L200" s="306"/>
      <c r="M200" s="306"/>
      <c r="N200" s="306"/>
    </row>
    <row r="201" spans="2:14" x14ac:dyDescent="0.25">
      <c r="B201" s="305"/>
      <c r="C201" s="43" t="s">
        <v>984</v>
      </c>
      <c r="D201" s="43" t="s">
        <v>984</v>
      </c>
      <c r="E201" s="43" t="s">
        <v>984</v>
      </c>
      <c r="F201" s="43" t="s">
        <v>984</v>
      </c>
      <c r="G201" s="43" t="s">
        <v>984</v>
      </c>
      <c r="H201" s="43" t="s">
        <v>984</v>
      </c>
      <c r="I201" s="43" t="s">
        <v>984</v>
      </c>
      <c r="J201" s="43" t="s">
        <v>984</v>
      </c>
      <c r="K201" s="305"/>
      <c r="L201" s="306"/>
      <c r="M201" s="306"/>
      <c r="N201" s="306"/>
    </row>
    <row r="202" spans="2:14" x14ac:dyDescent="0.25">
      <c r="B202" s="305"/>
      <c r="C202" s="35">
        <v>84</v>
      </c>
      <c r="D202" s="35">
        <v>1</v>
      </c>
      <c r="E202" s="35">
        <v>0</v>
      </c>
      <c r="F202" s="35">
        <v>13</v>
      </c>
      <c r="G202" s="35">
        <v>0</v>
      </c>
      <c r="H202" s="35" t="s">
        <v>131</v>
      </c>
      <c r="I202" s="35">
        <v>260</v>
      </c>
      <c r="J202" s="35">
        <v>13</v>
      </c>
      <c r="K202" s="305"/>
      <c r="L202" s="306"/>
      <c r="M202" s="306"/>
      <c r="N202" s="306"/>
    </row>
  </sheetData>
  <mergeCells count="160">
    <mergeCell ref="N183:N192"/>
    <mergeCell ref="M183:M192"/>
    <mergeCell ref="B11:B21"/>
    <mergeCell ref="K11:K21"/>
    <mergeCell ref="L11:L21"/>
    <mergeCell ref="B33:B52"/>
    <mergeCell ref="C33:C36"/>
    <mergeCell ref="D33:D36"/>
    <mergeCell ref="K33:K52"/>
    <mergeCell ref="L33:L52"/>
    <mergeCell ref="C46:C48"/>
    <mergeCell ref="D46:D48"/>
    <mergeCell ref="C50:C52"/>
    <mergeCell ref="D50:D52"/>
    <mergeCell ref="C37:C40"/>
    <mergeCell ref="D37:D40"/>
    <mergeCell ref="C42:C45"/>
    <mergeCell ref="D42:D45"/>
    <mergeCell ref="B53:B63"/>
    <mergeCell ref="K53:K63"/>
    <mergeCell ref="L53:L63"/>
    <mergeCell ref="C53:C56"/>
    <mergeCell ref="B76:B86"/>
    <mergeCell ref="C76:C79"/>
    <mergeCell ref="N193:N202"/>
    <mergeCell ref="N3:N10"/>
    <mergeCell ref="N11:N21"/>
    <mergeCell ref="N53:N63"/>
    <mergeCell ref="N33:N52"/>
    <mergeCell ref="N64:N75"/>
    <mergeCell ref="N76:N86"/>
    <mergeCell ref="N87:N96"/>
    <mergeCell ref="N97:N102"/>
    <mergeCell ref="B103:N103"/>
    <mergeCell ref="N104:N113"/>
    <mergeCell ref="N114:N126"/>
    <mergeCell ref="N149:N161"/>
    <mergeCell ref="N127:N137"/>
    <mergeCell ref="N138:N148"/>
    <mergeCell ref="N162:N172"/>
    <mergeCell ref="N173:N182"/>
    <mergeCell ref="M104:M113"/>
    <mergeCell ref="M114:M126"/>
    <mergeCell ref="M149:M161"/>
    <mergeCell ref="M127:M137"/>
    <mergeCell ref="M138:M148"/>
    <mergeCell ref="D53:D56"/>
    <mergeCell ref="B3:B10"/>
    <mergeCell ref="M193:M202"/>
    <mergeCell ref="M3:M10"/>
    <mergeCell ref="M11:M21"/>
    <mergeCell ref="M53:M63"/>
    <mergeCell ref="M33:M52"/>
    <mergeCell ref="M64:M75"/>
    <mergeCell ref="M76:M86"/>
    <mergeCell ref="M87:M96"/>
    <mergeCell ref="M97:M102"/>
    <mergeCell ref="M162:M172"/>
    <mergeCell ref="M173:M182"/>
    <mergeCell ref="M22:M32"/>
    <mergeCell ref="K3:K10"/>
    <mergeCell ref="L3:L10"/>
    <mergeCell ref="B64:B75"/>
    <mergeCell ref="C64:C67"/>
    <mergeCell ref="D64:D67"/>
    <mergeCell ref="K64:K75"/>
    <mergeCell ref="L64:L75"/>
    <mergeCell ref="C69:C71"/>
    <mergeCell ref="D69:D71"/>
    <mergeCell ref="C73:C75"/>
    <mergeCell ref="D73:D75"/>
    <mergeCell ref="B22:B32"/>
    <mergeCell ref="C22:C25"/>
    <mergeCell ref="D22:D25"/>
    <mergeCell ref="K22:K32"/>
    <mergeCell ref="L22:L32"/>
    <mergeCell ref="D76:D79"/>
    <mergeCell ref="K76:K86"/>
    <mergeCell ref="L76:L86"/>
    <mergeCell ref="C81:C83"/>
    <mergeCell ref="D81:D83"/>
    <mergeCell ref="C84:C86"/>
    <mergeCell ref="D84:D86"/>
    <mergeCell ref="B87:B96"/>
    <mergeCell ref="C87:C90"/>
    <mergeCell ref="D87:D90"/>
    <mergeCell ref="K87:K96"/>
    <mergeCell ref="L87:L96"/>
    <mergeCell ref="C91:C93"/>
    <mergeCell ref="D91:D93"/>
    <mergeCell ref="C94:C96"/>
    <mergeCell ref="D94:D96"/>
    <mergeCell ref="B114:B126"/>
    <mergeCell ref="K114:K126"/>
    <mergeCell ref="L114:L126"/>
    <mergeCell ref="B149:B161"/>
    <mergeCell ref="K149:K161"/>
    <mergeCell ref="L149:L161"/>
    <mergeCell ref="C149:C152"/>
    <mergeCell ref="D149:D152"/>
    <mergeCell ref="B97:B102"/>
    <mergeCell ref="K97:K102"/>
    <mergeCell ref="L97:L102"/>
    <mergeCell ref="B104:B113"/>
    <mergeCell ref="K104:K113"/>
    <mergeCell ref="L104:L113"/>
    <mergeCell ref="B127:B137"/>
    <mergeCell ref="C127:C130"/>
    <mergeCell ref="D127:D130"/>
    <mergeCell ref="K127:K137"/>
    <mergeCell ref="L127:L137"/>
    <mergeCell ref="C131:C133"/>
    <mergeCell ref="D131:D133"/>
    <mergeCell ref="C135:C137"/>
    <mergeCell ref="D135:D137"/>
    <mergeCell ref="B138:B148"/>
    <mergeCell ref="C138:C141"/>
    <mergeCell ref="D138:D141"/>
    <mergeCell ref="K138:K148"/>
    <mergeCell ref="L138:L148"/>
    <mergeCell ref="C142:C144"/>
    <mergeCell ref="D142:D144"/>
    <mergeCell ref="C146:C148"/>
    <mergeCell ref="D146:D148"/>
    <mergeCell ref="D177:D179"/>
    <mergeCell ref="C180:C182"/>
    <mergeCell ref="D180:D182"/>
    <mergeCell ref="B162:B172"/>
    <mergeCell ref="C162:C165"/>
    <mergeCell ref="D162:D165"/>
    <mergeCell ref="K162:K172"/>
    <mergeCell ref="L162:L172"/>
    <mergeCell ref="C166:C168"/>
    <mergeCell ref="D166:D168"/>
    <mergeCell ref="C170:C172"/>
    <mergeCell ref="D170:D172"/>
    <mergeCell ref="N22:N32"/>
    <mergeCell ref="C26:C28"/>
    <mergeCell ref="D26:D28"/>
    <mergeCell ref="C30:C32"/>
    <mergeCell ref="D30:D32"/>
    <mergeCell ref="C2:N2"/>
    <mergeCell ref="B193:B202"/>
    <mergeCell ref="K193:K202"/>
    <mergeCell ref="L193:L202"/>
    <mergeCell ref="B183:B192"/>
    <mergeCell ref="C183:C186"/>
    <mergeCell ref="D183:D186"/>
    <mergeCell ref="K183:K192"/>
    <mergeCell ref="L183:L192"/>
    <mergeCell ref="C187:C189"/>
    <mergeCell ref="D187:D189"/>
    <mergeCell ref="C190:C192"/>
    <mergeCell ref="D190:D192"/>
    <mergeCell ref="B173:B182"/>
    <mergeCell ref="C173:C176"/>
    <mergeCell ref="D173:D176"/>
    <mergeCell ref="K173:K182"/>
    <mergeCell ref="L173:L182"/>
    <mergeCell ref="C177:C179"/>
  </mergeCells>
  <hyperlinks>
    <hyperlink ref="L1" location="'CU Plane Coupling - Use_cases'!A1" display="Use cases " xr:uid="{70B55CDF-EA80-4E14-B275-7E6689B0BA1A}"/>
    <hyperlink ref="O8" location="'CU Plane Coupling - Use_cases'!A1" display="Refer Usecase Sheet" xr:uid="{F2724374-3806-4C12-BD85-40DE75F6FC78}"/>
  </hyperlink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4339-5076-4127-8F38-3F8DB2A60993}">
  <dimension ref="A1:S179"/>
  <sheetViews>
    <sheetView zoomScale="85" zoomScaleNormal="85" workbookViewId="0">
      <pane xSplit="2" ySplit="1" topLeftCell="G47" activePane="bottomRight" state="frozen"/>
      <selection pane="topRight" activeCell="C1" sqref="C1"/>
      <selection pane="bottomLeft" activeCell="A2" sqref="A2"/>
      <selection pane="bottomRight" activeCell="R49" sqref="R49"/>
    </sheetView>
  </sheetViews>
  <sheetFormatPr defaultRowHeight="15" x14ac:dyDescent="0.25"/>
  <cols>
    <col min="1" max="1" width="8.85546875" style="44"/>
    <col min="2" max="2" width="7.42578125" style="44" bestFit="1" customWidth="1"/>
    <col min="3" max="3" width="19.140625" style="44" bestFit="1" customWidth="1"/>
    <col min="4" max="4" width="17.5703125" style="44" bestFit="1" customWidth="1"/>
    <col min="5" max="5" width="11.5703125" style="44" bestFit="1" customWidth="1"/>
    <col min="6" max="6" width="16.42578125" style="44" bestFit="1" customWidth="1"/>
    <col min="7" max="7" width="9.42578125" style="44" bestFit="1" customWidth="1"/>
    <col min="8" max="8" width="13.85546875" style="44" bestFit="1" customWidth="1"/>
    <col min="9" max="9" width="26" style="44" bestFit="1" customWidth="1"/>
    <col min="10" max="10" width="13.5703125" style="44" customWidth="1"/>
    <col min="11" max="11" width="61.42578125" style="44" bestFit="1" customWidth="1"/>
    <col min="12" max="12" width="12" style="44" bestFit="1" customWidth="1"/>
    <col min="13" max="13" width="21.85546875" style="44" bestFit="1" customWidth="1"/>
    <col min="14" max="14" width="24.42578125" style="44" customWidth="1"/>
    <col min="15" max="15" width="2.42578125" style="44" bestFit="1" customWidth="1"/>
    <col min="16" max="16" width="16" style="44" bestFit="1" customWidth="1"/>
    <col min="17" max="19" width="8.85546875" style="44"/>
  </cols>
  <sheetData>
    <row r="1" spans="2:19" s="44" customFormat="1" ht="30.75" thickBot="1" x14ac:dyDescent="0.3">
      <c r="B1" s="32" t="s">
        <v>116</v>
      </c>
      <c r="C1" s="32" t="s">
        <v>117</v>
      </c>
      <c r="D1" s="33" t="s">
        <v>973</v>
      </c>
      <c r="E1" s="32" t="s">
        <v>119</v>
      </c>
      <c r="F1" s="32" t="s">
        <v>121</v>
      </c>
      <c r="G1" s="32" t="s">
        <v>122</v>
      </c>
      <c r="H1" s="32" t="s">
        <v>123</v>
      </c>
      <c r="I1" s="33" t="s">
        <v>974</v>
      </c>
      <c r="J1" s="33" t="s">
        <v>975</v>
      </c>
      <c r="K1" s="32" t="s">
        <v>2</v>
      </c>
      <c r="L1" s="52" t="s">
        <v>153</v>
      </c>
      <c r="M1" s="33" t="s">
        <v>976</v>
      </c>
      <c r="N1" s="33" t="s">
        <v>977</v>
      </c>
    </row>
    <row r="2" spans="2:19" s="44" customFormat="1" ht="15.75" thickBot="1" x14ac:dyDescent="0.3">
      <c r="B2" s="53"/>
      <c r="C2" s="389" t="s">
        <v>115</v>
      </c>
      <c r="D2" s="389"/>
      <c r="E2" s="389"/>
      <c r="F2" s="389"/>
      <c r="G2" s="389"/>
      <c r="H2" s="389"/>
      <c r="I2" s="389"/>
      <c r="J2" s="389"/>
      <c r="K2" s="389"/>
      <c r="L2" s="389"/>
      <c r="M2" s="389"/>
      <c r="N2" s="390"/>
    </row>
    <row r="3" spans="2:19" s="44" customFormat="1" x14ac:dyDescent="0.25">
      <c r="B3" s="395">
        <v>1</v>
      </c>
      <c r="C3" s="36">
        <v>1</v>
      </c>
      <c r="D3" s="36">
        <v>1</v>
      </c>
      <c r="E3" s="36">
        <v>0</v>
      </c>
      <c r="F3" s="36">
        <v>0</v>
      </c>
      <c r="G3" s="36">
        <v>0</v>
      </c>
      <c r="H3" s="34">
        <v>14</v>
      </c>
      <c r="I3" s="36">
        <v>0</v>
      </c>
      <c r="J3" s="36">
        <v>162</v>
      </c>
      <c r="K3" s="395" t="s">
        <v>1074</v>
      </c>
      <c r="L3" s="394" t="s">
        <v>980</v>
      </c>
      <c r="M3" s="394" t="s">
        <v>1075</v>
      </c>
      <c r="N3" s="394"/>
    </row>
    <row r="4" spans="2:19" s="44" customFormat="1" x14ac:dyDescent="0.25">
      <c r="B4" s="302"/>
      <c r="C4" s="35">
        <v>1</v>
      </c>
      <c r="D4" s="35">
        <v>1</v>
      </c>
      <c r="E4" s="35">
        <v>0</v>
      </c>
      <c r="F4" s="35">
        <v>0</v>
      </c>
      <c r="G4" s="35">
        <v>0</v>
      </c>
      <c r="H4" s="35" t="s">
        <v>131</v>
      </c>
      <c r="I4" s="35">
        <v>0</v>
      </c>
      <c r="J4" s="35">
        <v>91</v>
      </c>
      <c r="K4" s="302"/>
      <c r="L4" s="307"/>
      <c r="M4" s="307"/>
      <c r="N4" s="307"/>
    </row>
    <row r="5" spans="2:19" s="44" customFormat="1" x14ac:dyDescent="0.25">
      <c r="B5" s="302"/>
      <c r="C5" s="35">
        <v>2</v>
      </c>
      <c r="D5" s="35">
        <v>1</v>
      </c>
      <c r="E5" s="35">
        <v>0</v>
      </c>
      <c r="F5" s="35">
        <v>0</v>
      </c>
      <c r="G5" s="35">
        <v>0</v>
      </c>
      <c r="H5" s="35" t="s">
        <v>131</v>
      </c>
      <c r="I5" s="35">
        <v>91</v>
      </c>
      <c r="J5" s="35">
        <v>71</v>
      </c>
      <c r="K5" s="302"/>
      <c r="L5" s="307"/>
      <c r="M5" s="307"/>
      <c r="N5" s="307"/>
    </row>
    <row r="6" spans="2:19" s="44" customFormat="1" x14ac:dyDescent="0.25">
      <c r="B6" s="302"/>
      <c r="C6" s="43" t="s">
        <v>984</v>
      </c>
      <c r="D6" s="43" t="s">
        <v>984</v>
      </c>
      <c r="E6" s="43" t="s">
        <v>984</v>
      </c>
      <c r="F6" s="43" t="s">
        <v>984</v>
      </c>
      <c r="G6" s="43" t="s">
        <v>984</v>
      </c>
      <c r="H6" s="43" t="s">
        <v>984</v>
      </c>
      <c r="I6" s="43" t="s">
        <v>984</v>
      </c>
      <c r="J6" s="43" t="s">
        <v>984</v>
      </c>
      <c r="K6" s="302"/>
      <c r="L6" s="307"/>
      <c r="M6" s="307"/>
      <c r="N6" s="307"/>
      <c r="P6" s="37"/>
      <c r="Q6" s="2" t="s">
        <v>133</v>
      </c>
      <c r="R6" t="s">
        <v>134</v>
      </c>
      <c r="S6" s="44" t="s">
        <v>134</v>
      </c>
    </row>
    <row r="7" spans="2:19" s="44" customFormat="1" x14ac:dyDescent="0.25">
      <c r="B7" s="302"/>
      <c r="C7" s="35">
        <v>27</v>
      </c>
      <c r="D7" s="35">
        <v>1</v>
      </c>
      <c r="E7" s="35">
        <v>0</v>
      </c>
      <c r="F7" s="35">
        <v>13</v>
      </c>
      <c r="G7" s="35">
        <v>0</v>
      </c>
      <c r="H7" s="35" t="s">
        <v>131</v>
      </c>
      <c r="I7" s="35">
        <v>0</v>
      </c>
      <c r="J7" s="35">
        <v>91</v>
      </c>
      <c r="K7" s="302"/>
      <c r="L7" s="307"/>
      <c r="M7" s="307"/>
      <c r="N7" s="307"/>
      <c r="O7" s="45"/>
    </row>
    <row r="8" spans="2:19" s="44" customFormat="1" x14ac:dyDescent="0.25">
      <c r="B8" s="303"/>
      <c r="C8" s="35">
        <v>28</v>
      </c>
      <c r="D8" s="35">
        <v>1</v>
      </c>
      <c r="E8" s="35">
        <v>0</v>
      </c>
      <c r="F8" s="35">
        <v>13</v>
      </c>
      <c r="G8" s="35">
        <v>0</v>
      </c>
      <c r="H8" s="35" t="s">
        <v>131</v>
      </c>
      <c r="I8" s="35">
        <v>91</v>
      </c>
      <c r="J8" s="35">
        <v>71</v>
      </c>
      <c r="K8" s="303"/>
      <c r="L8" s="308"/>
      <c r="M8" s="308"/>
      <c r="N8" s="308"/>
      <c r="O8" s="45"/>
      <c r="P8" s="38"/>
      <c r="Q8" s="2" t="s">
        <v>133</v>
      </c>
      <c r="R8" t="s">
        <v>135</v>
      </c>
      <c r="S8" s="44" t="s">
        <v>135</v>
      </c>
    </row>
    <row r="9" spans="2:19" s="44" customFormat="1" x14ac:dyDescent="0.25">
      <c r="B9" s="304">
        <v>2</v>
      </c>
      <c r="C9" s="34">
        <v>1</v>
      </c>
      <c r="D9" s="34">
        <v>1</v>
      </c>
      <c r="E9" s="34">
        <v>0</v>
      </c>
      <c r="F9" s="34">
        <v>0</v>
      </c>
      <c r="G9" s="34">
        <v>0</v>
      </c>
      <c r="H9" s="34">
        <v>1</v>
      </c>
      <c r="I9" s="34">
        <v>0</v>
      </c>
      <c r="J9" s="34">
        <v>162</v>
      </c>
      <c r="K9" s="304" t="s">
        <v>1076</v>
      </c>
      <c r="L9" s="301" t="s">
        <v>982</v>
      </c>
      <c r="M9" s="301" t="s">
        <v>1077</v>
      </c>
      <c r="N9" s="301"/>
      <c r="Q9" s="45"/>
    </row>
    <row r="10" spans="2:19" s="44" customFormat="1" x14ac:dyDescent="0.25">
      <c r="B10" s="302"/>
      <c r="C10" s="34">
        <v>2</v>
      </c>
      <c r="D10" s="34">
        <v>1</v>
      </c>
      <c r="E10" s="34">
        <v>0</v>
      </c>
      <c r="F10" s="34">
        <v>1</v>
      </c>
      <c r="G10" s="34">
        <v>0</v>
      </c>
      <c r="H10" s="34">
        <v>1</v>
      </c>
      <c r="I10" s="34">
        <v>0</v>
      </c>
      <c r="J10" s="34">
        <v>162</v>
      </c>
      <c r="K10" s="302"/>
      <c r="L10" s="307"/>
      <c r="M10" s="307"/>
      <c r="N10" s="307"/>
      <c r="P10" s="48" t="s">
        <v>1028</v>
      </c>
      <c r="Q10" s="45"/>
      <c r="R10" s="48"/>
    </row>
    <row r="11" spans="2:19" s="44" customFormat="1" x14ac:dyDescent="0.25">
      <c r="B11" s="302"/>
      <c r="C11" s="34" t="s">
        <v>984</v>
      </c>
      <c r="D11" s="34" t="s">
        <v>984</v>
      </c>
      <c r="E11" s="34" t="s">
        <v>984</v>
      </c>
      <c r="F11" s="34" t="s">
        <v>984</v>
      </c>
      <c r="G11" s="34" t="s">
        <v>984</v>
      </c>
      <c r="H11" s="34" t="s">
        <v>984</v>
      </c>
      <c r="I11" s="34" t="s">
        <v>984</v>
      </c>
      <c r="J11" s="34" t="s">
        <v>984</v>
      </c>
      <c r="K11" s="302"/>
      <c r="L11" s="307"/>
      <c r="M11" s="307"/>
      <c r="N11" s="307"/>
    </row>
    <row r="12" spans="2:19" s="44" customFormat="1" x14ac:dyDescent="0.25">
      <c r="B12" s="302"/>
      <c r="C12" s="34">
        <v>14</v>
      </c>
      <c r="D12" s="34">
        <v>1</v>
      </c>
      <c r="E12" s="34">
        <v>0</v>
      </c>
      <c r="F12" s="34">
        <v>13</v>
      </c>
      <c r="G12" s="34">
        <v>0</v>
      </c>
      <c r="H12" s="34">
        <v>1</v>
      </c>
      <c r="I12" s="34">
        <v>0</v>
      </c>
      <c r="J12" s="34">
        <v>162</v>
      </c>
      <c r="K12" s="302"/>
      <c r="L12" s="307"/>
      <c r="M12" s="307"/>
      <c r="N12" s="307"/>
    </row>
    <row r="13" spans="2:19" s="44" customFormat="1" x14ac:dyDescent="0.25">
      <c r="B13" s="302"/>
      <c r="C13" s="35">
        <v>1</v>
      </c>
      <c r="D13" s="35">
        <v>1</v>
      </c>
      <c r="E13" s="35">
        <v>0</v>
      </c>
      <c r="F13" s="35">
        <v>0</v>
      </c>
      <c r="G13" s="35">
        <v>0</v>
      </c>
      <c r="H13" s="35" t="s">
        <v>131</v>
      </c>
      <c r="I13" s="35">
        <v>0</v>
      </c>
      <c r="J13" s="35">
        <v>91</v>
      </c>
      <c r="K13" s="302"/>
      <c r="L13" s="307"/>
      <c r="M13" s="307"/>
      <c r="N13" s="307"/>
    </row>
    <row r="14" spans="2:19" s="44" customFormat="1" x14ac:dyDescent="0.25">
      <c r="B14" s="302"/>
      <c r="C14" s="35">
        <v>2</v>
      </c>
      <c r="D14" s="35">
        <v>1</v>
      </c>
      <c r="E14" s="35">
        <v>0</v>
      </c>
      <c r="F14" s="35">
        <v>0</v>
      </c>
      <c r="G14" s="35">
        <v>0</v>
      </c>
      <c r="H14" s="35" t="s">
        <v>131</v>
      </c>
      <c r="I14" s="35">
        <v>91</v>
      </c>
      <c r="J14" s="35">
        <v>71</v>
      </c>
      <c r="K14" s="302"/>
      <c r="L14" s="307"/>
      <c r="M14" s="307"/>
      <c r="N14" s="307"/>
    </row>
    <row r="15" spans="2:19" s="44" customFormat="1" x14ac:dyDescent="0.25">
      <c r="B15" s="302"/>
      <c r="C15" s="43" t="s">
        <v>984</v>
      </c>
      <c r="D15" s="43" t="s">
        <v>984</v>
      </c>
      <c r="E15" s="43" t="s">
        <v>984</v>
      </c>
      <c r="F15" s="43" t="s">
        <v>984</v>
      </c>
      <c r="G15" s="43" t="s">
        <v>984</v>
      </c>
      <c r="H15" s="43" t="s">
        <v>984</v>
      </c>
      <c r="I15" s="43" t="s">
        <v>984</v>
      </c>
      <c r="J15" s="43" t="s">
        <v>984</v>
      </c>
      <c r="K15" s="302"/>
      <c r="L15" s="307"/>
      <c r="M15" s="307"/>
      <c r="N15" s="307"/>
    </row>
    <row r="16" spans="2:19" s="44" customFormat="1" x14ac:dyDescent="0.25">
      <c r="B16" s="302"/>
      <c r="C16" s="35">
        <v>27</v>
      </c>
      <c r="D16" s="35">
        <v>1</v>
      </c>
      <c r="E16" s="35">
        <v>0</v>
      </c>
      <c r="F16" s="35">
        <v>13</v>
      </c>
      <c r="G16" s="35">
        <v>0</v>
      </c>
      <c r="H16" s="35" t="s">
        <v>131</v>
      </c>
      <c r="I16" s="35">
        <v>0</v>
      </c>
      <c r="J16" s="35">
        <v>91</v>
      </c>
      <c r="K16" s="302"/>
      <c r="L16" s="307"/>
      <c r="M16" s="307"/>
      <c r="N16" s="307"/>
    </row>
    <row r="17" spans="2:14" s="44" customFormat="1" x14ac:dyDescent="0.25">
      <c r="B17" s="303"/>
      <c r="C17" s="35">
        <v>28</v>
      </c>
      <c r="D17" s="35">
        <v>1</v>
      </c>
      <c r="E17" s="35">
        <v>0</v>
      </c>
      <c r="F17" s="35">
        <v>13</v>
      </c>
      <c r="G17" s="35">
        <v>0</v>
      </c>
      <c r="H17" s="35" t="s">
        <v>131</v>
      </c>
      <c r="I17" s="35">
        <v>91</v>
      </c>
      <c r="J17" s="35">
        <v>71</v>
      </c>
      <c r="K17" s="303"/>
      <c r="L17" s="308"/>
      <c r="M17" s="308"/>
      <c r="N17" s="308"/>
    </row>
    <row r="18" spans="2:14" s="44" customFormat="1" x14ac:dyDescent="0.25">
      <c r="B18" s="304">
        <v>3</v>
      </c>
      <c r="C18" s="310">
        <v>1</v>
      </c>
      <c r="D18" s="310">
        <v>9</v>
      </c>
      <c r="E18" s="34">
        <v>0</v>
      </c>
      <c r="F18" s="34">
        <v>0</v>
      </c>
      <c r="G18" s="34">
        <v>0</v>
      </c>
      <c r="H18" s="34">
        <v>14</v>
      </c>
      <c r="I18" s="34">
        <v>0</v>
      </c>
      <c r="J18" s="34">
        <v>18</v>
      </c>
      <c r="K18" s="301" t="s">
        <v>1078</v>
      </c>
      <c r="L18" s="301" t="s">
        <v>986</v>
      </c>
      <c r="M18" s="301" t="s">
        <v>1079</v>
      </c>
      <c r="N18" s="301"/>
    </row>
    <row r="19" spans="2:14" s="44" customFormat="1" x14ac:dyDescent="0.25">
      <c r="B19" s="302"/>
      <c r="C19" s="311"/>
      <c r="D19" s="311"/>
      <c r="E19" s="34">
        <v>1</v>
      </c>
      <c r="F19" s="34">
        <v>0</v>
      </c>
      <c r="G19" s="34">
        <v>0</v>
      </c>
      <c r="H19" s="34">
        <v>14</v>
      </c>
      <c r="I19" s="34">
        <v>18</v>
      </c>
      <c r="J19" s="34">
        <v>18</v>
      </c>
      <c r="K19" s="307"/>
      <c r="L19" s="307"/>
      <c r="M19" s="307"/>
      <c r="N19" s="307"/>
    </row>
    <row r="20" spans="2:14" s="44" customFormat="1" x14ac:dyDescent="0.25">
      <c r="B20" s="302"/>
      <c r="C20" s="311"/>
      <c r="D20" s="311"/>
      <c r="E20" s="34" t="s">
        <v>984</v>
      </c>
      <c r="F20" s="34" t="s">
        <v>984</v>
      </c>
      <c r="G20" s="34" t="s">
        <v>984</v>
      </c>
      <c r="H20" s="34" t="s">
        <v>984</v>
      </c>
      <c r="I20" s="34" t="s">
        <v>984</v>
      </c>
      <c r="J20" s="34" t="s">
        <v>984</v>
      </c>
      <c r="K20" s="307"/>
      <c r="L20" s="307"/>
      <c r="M20" s="307"/>
      <c r="N20" s="307"/>
    </row>
    <row r="21" spans="2:14" s="44" customFormat="1" x14ac:dyDescent="0.25">
      <c r="B21" s="302"/>
      <c r="C21" s="312"/>
      <c r="D21" s="312"/>
      <c r="E21" s="34">
        <v>8</v>
      </c>
      <c r="F21" s="34">
        <v>0</v>
      </c>
      <c r="G21" s="34">
        <v>0</v>
      </c>
      <c r="H21" s="34">
        <v>14</v>
      </c>
      <c r="I21" s="34">
        <v>144</v>
      </c>
      <c r="J21" s="34">
        <v>18</v>
      </c>
      <c r="K21" s="307"/>
      <c r="L21" s="307"/>
      <c r="M21" s="307"/>
      <c r="N21" s="307"/>
    </row>
    <row r="22" spans="2:14" s="44" customFormat="1" x14ac:dyDescent="0.25">
      <c r="B22" s="302"/>
      <c r="C22" s="315">
        <v>1</v>
      </c>
      <c r="D22" s="315">
        <v>6</v>
      </c>
      <c r="E22" s="35">
        <v>0</v>
      </c>
      <c r="F22" s="35">
        <v>0</v>
      </c>
      <c r="G22" s="35">
        <v>0</v>
      </c>
      <c r="H22" s="35" t="s">
        <v>131</v>
      </c>
      <c r="I22" s="35">
        <v>0</v>
      </c>
      <c r="J22" s="35">
        <v>18</v>
      </c>
      <c r="K22" s="307"/>
      <c r="L22" s="307"/>
      <c r="M22" s="307"/>
      <c r="N22" s="307"/>
    </row>
    <row r="23" spans="2:14" s="44" customFormat="1" x14ac:dyDescent="0.25">
      <c r="B23" s="302"/>
      <c r="C23" s="318"/>
      <c r="D23" s="318"/>
      <c r="E23" s="43" t="s">
        <v>984</v>
      </c>
      <c r="F23" s="43" t="s">
        <v>984</v>
      </c>
      <c r="G23" s="43" t="s">
        <v>984</v>
      </c>
      <c r="H23" s="43" t="s">
        <v>984</v>
      </c>
      <c r="I23" s="43" t="s">
        <v>651</v>
      </c>
      <c r="J23" s="43" t="s">
        <v>984</v>
      </c>
      <c r="K23" s="307"/>
      <c r="L23" s="307"/>
      <c r="M23" s="307"/>
      <c r="N23" s="307"/>
    </row>
    <row r="24" spans="2:14" s="44" customFormat="1" ht="14.45" customHeight="1" x14ac:dyDescent="0.25">
      <c r="B24" s="302"/>
      <c r="C24" s="316"/>
      <c r="D24" s="316"/>
      <c r="E24" s="35">
        <v>5</v>
      </c>
      <c r="F24" s="35">
        <v>0</v>
      </c>
      <c r="G24" s="35">
        <v>0</v>
      </c>
      <c r="H24" s="35" t="s">
        <v>131</v>
      </c>
      <c r="I24" s="35">
        <v>90</v>
      </c>
      <c r="J24" s="35">
        <v>1</v>
      </c>
      <c r="K24" s="307"/>
      <c r="L24" s="307"/>
      <c r="M24" s="307"/>
      <c r="N24" s="307"/>
    </row>
    <row r="25" spans="2:14" s="44" customFormat="1" x14ac:dyDescent="0.25">
      <c r="B25" s="302"/>
      <c r="C25" s="315">
        <v>2</v>
      </c>
      <c r="D25" s="315">
        <v>4</v>
      </c>
      <c r="E25" s="35">
        <v>5</v>
      </c>
      <c r="F25" s="35">
        <v>0</v>
      </c>
      <c r="G25" s="35">
        <v>0</v>
      </c>
      <c r="H25" s="35" t="s">
        <v>131</v>
      </c>
      <c r="I25" s="35">
        <v>91</v>
      </c>
      <c r="J25" s="35">
        <v>17</v>
      </c>
      <c r="K25" s="307"/>
      <c r="L25" s="307"/>
      <c r="M25" s="307"/>
      <c r="N25" s="307"/>
    </row>
    <row r="26" spans="2:14" s="44" customFormat="1" x14ac:dyDescent="0.25">
      <c r="B26" s="302"/>
      <c r="C26" s="318"/>
      <c r="D26" s="318"/>
      <c r="E26" s="43" t="s">
        <v>984</v>
      </c>
      <c r="F26" s="43" t="s">
        <v>984</v>
      </c>
      <c r="G26" s="43" t="s">
        <v>984</v>
      </c>
      <c r="H26" s="43" t="s">
        <v>984</v>
      </c>
      <c r="I26" s="43" t="s">
        <v>984</v>
      </c>
      <c r="J26" s="43" t="s">
        <v>984</v>
      </c>
      <c r="K26" s="307"/>
      <c r="L26" s="307"/>
      <c r="M26" s="307"/>
      <c r="N26" s="307"/>
    </row>
    <row r="27" spans="2:14" s="44" customFormat="1" x14ac:dyDescent="0.25">
      <c r="B27" s="303"/>
      <c r="C27" s="316"/>
      <c r="D27" s="316"/>
      <c r="E27" s="35">
        <v>8</v>
      </c>
      <c r="F27" s="35">
        <v>0</v>
      </c>
      <c r="G27" s="35">
        <v>0</v>
      </c>
      <c r="H27" s="35" t="s">
        <v>131</v>
      </c>
      <c r="I27" s="35">
        <v>144</v>
      </c>
      <c r="J27" s="35">
        <v>18</v>
      </c>
      <c r="K27" s="308"/>
      <c r="L27" s="308"/>
      <c r="M27" s="308"/>
      <c r="N27" s="308"/>
    </row>
    <row r="28" spans="2:14" s="44" customFormat="1" x14ac:dyDescent="0.25">
      <c r="B28" s="304">
        <v>4</v>
      </c>
      <c r="C28" s="310">
        <v>1</v>
      </c>
      <c r="D28" s="310">
        <v>9</v>
      </c>
      <c r="E28" s="34">
        <v>0</v>
      </c>
      <c r="F28" s="34">
        <v>0</v>
      </c>
      <c r="G28" s="34">
        <v>0</v>
      </c>
      <c r="H28" s="34">
        <v>1</v>
      </c>
      <c r="I28" s="34">
        <v>0</v>
      </c>
      <c r="J28" s="34">
        <v>18</v>
      </c>
      <c r="K28" s="301" t="s">
        <v>1080</v>
      </c>
      <c r="L28" s="301" t="s">
        <v>988</v>
      </c>
      <c r="M28" s="301" t="s">
        <v>1081</v>
      </c>
      <c r="N28" s="301"/>
    </row>
    <row r="29" spans="2:14" s="44" customFormat="1" x14ac:dyDescent="0.25">
      <c r="B29" s="302"/>
      <c r="C29" s="311"/>
      <c r="D29" s="311"/>
      <c r="E29" s="34">
        <v>1</v>
      </c>
      <c r="F29" s="34">
        <v>0</v>
      </c>
      <c r="G29" s="34">
        <v>0</v>
      </c>
      <c r="H29" s="34">
        <v>1</v>
      </c>
      <c r="I29" s="34">
        <v>18</v>
      </c>
      <c r="J29" s="34">
        <v>18</v>
      </c>
      <c r="K29" s="307"/>
      <c r="L29" s="307"/>
      <c r="M29" s="307"/>
      <c r="N29" s="307"/>
    </row>
    <row r="30" spans="2:14" s="44" customFormat="1" x14ac:dyDescent="0.25">
      <c r="B30" s="302"/>
      <c r="C30" s="311"/>
      <c r="D30" s="311"/>
      <c r="E30" s="34" t="s">
        <v>984</v>
      </c>
      <c r="F30" s="34" t="s">
        <v>984</v>
      </c>
      <c r="G30" s="34" t="s">
        <v>984</v>
      </c>
      <c r="H30" s="34" t="s">
        <v>984</v>
      </c>
      <c r="I30" s="34" t="s">
        <v>984</v>
      </c>
      <c r="J30" s="34" t="s">
        <v>984</v>
      </c>
      <c r="K30" s="307"/>
      <c r="L30" s="307"/>
      <c r="M30" s="307"/>
      <c r="N30" s="307"/>
    </row>
    <row r="31" spans="2:14" s="44" customFormat="1" x14ac:dyDescent="0.25">
      <c r="B31" s="302"/>
      <c r="C31" s="312"/>
      <c r="D31" s="312"/>
      <c r="E31" s="34">
        <v>8</v>
      </c>
      <c r="F31" s="34">
        <v>0</v>
      </c>
      <c r="G31" s="34">
        <v>0</v>
      </c>
      <c r="H31" s="34">
        <v>1</v>
      </c>
      <c r="I31" s="34">
        <v>144</v>
      </c>
      <c r="J31" s="34">
        <v>18</v>
      </c>
      <c r="K31" s="307"/>
      <c r="L31" s="307"/>
      <c r="M31" s="307"/>
      <c r="N31" s="307"/>
    </row>
    <row r="32" spans="2:14" s="44" customFormat="1" x14ac:dyDescent="0.25">
      <c r="B32" s="302"/>
      <c r="C32" s="315">
        <v>1</v>
      </c>
      <c r="D32" s="315">
        <v>6</v>
      </c>
      <c r="E32" s="35">
        <v>0</v>
      </c>
      <c r="F32" s="35">
        <v>0</v>
      </c>
      <c r="G32" s="35">
        <v>0</v>
      </c>
      <c r="H32" s="35" t="s">
        <v>131</v>
      </c>
      <c r="I32" s="35">
        <v>0</v>
      </c>
      <c r="J32" s="35">
        <v>18</v>
      </c>
      <c r="K32" s="307"/>
      <c r="L32" s="307"/>
      <c r="M32" s="307"/>
      <c r="N32" s="307"/>
    </row>
    <row r="33" spans="2:14" s="44" customFormat="1" x14ac:dyDescent="0.25">
      <c r="B33" s="302"/>
      <c r="C33" s="318"/>
      <c r="D33" s="318"/>
      <c r="E33" s="43" t="s">
        <v>984</v>
      </c>
      <c r="F33" s="43" t="s">
        <v>984</v>
      </c>
      <c r="G33" s="43" t="s">
        <v>984</v>
      </c>
      <c r="H33" s="43" t="s">
        <v>984</v>
      </c>
      <c r="I33" s="43" t="s">
        <v>984</v>
      </c>
      <c r="J33" s="43" t="s">
        <v>984</v>
      </c>
      <c r="K33" s="307"/>
      <c r="L33" s="307"/>
      <c r="M33" s="307"/>
      <c r="N33" s="307"/>
    </row>
    <row r="34" spans="2:14" s="44" customFormat="1" x14ac:dyDescent="0.25">
      <c r="B34" s="302"/>
      <c r="C34" s="316"/>
      <c r="D34" s="316"/>
      <c r="E34" s="35">
        <v>5</v>
      </c>
      <c r="F34" s="35">
        <v>0</v>
      </c>
      <c r="G34" s="35">
        <v>0</v>
      </c>
      <c r="H34" s="35" t="s">
        <v>131</v>
      </c>
      <c r="I34" s="35">
        <v>90</v>
      </c>
      <c r="J34" s="35">
        <v>1</v>
      </c>
      <c r="K34" s="307"/>
      <c r="L34" s="307"/>
      <c r="M34" s="307"/>
      <c r="N34" s="307"/>
    </row>
    <row r="35" spans="2:14" s="44" customFormat="1" ht="14.45" customHeight="1" x14ac:dyDescent="0.25">
      <c r="B35" s="302"/>
      <c r="C35" s="315">
        <v>2</v>
      </c>
      <c r="D35" s="315">
        <v>4</v>
      </c>
      <c r="E35" s="35">
        <v>5</v>
      </c>
      <c r="F35" s="35">
        <v>0</v>
      </c>
      <c r="G35" s="35">
        <v>0</v>
      </c>
      <c r="H35" s="35" t="s">
        <v>131</v>
      </c>
      <c r="I35" s="35">
        <v>91</v>
      </c>
      <c r="J35" s="35">
        <v>17</v>
      </c>
      <c r="K35" s="307"/>
      <c r="L35" s="307"/>
      <c r="M35" s="307"/>
      <c r="N35" s="307"/>
    </row>
    <row r="36" spans="2:14" s="44" customFormat="1" x14ac:dyDescent="0.25">
      <c r="B36" s="302"/>
      <c r="C36" s="318"/>
      <c r="D36" s="318"/>
      <c r="E36" s="43" t="s">
        <v>984</v>
      </c>
      <c r="F36" s="43" t="s">
        <v>984</v>
      </c>
      <c r="G36" s="43" t="s">
        <v>984</v>
      </c>
      <c r="H36" s="43" t="s">
        <v>984</v>
      </c>
      <c r="I36" s="43" t="s">
        <v>984</v>
      </c>
      <c r="J36" s="43" t="s">
        <v>984</v>
      </c>
      <c r="K36" s="307"/>
      <c r="L36" s="307"/>
      <c r="M36" s="307"/>
      <c r="N36" s="307"/>
    </row>
    <row r="37" spans="2:14" s="44" customFormat="1" x14ac:dyDescent="0.25">
      <c r="B37" s="303"/>
      <c r="C37" s="316"/>
      <c r="D37" s="316"/>
      <c r="E37" s="35">
        <v>8</v>
      </c>
      <c r="F37" s="35">
        <v>0</v>
      </c>
      <c r="G37" s="35">
        <v>0</v>
      </c>
      <c r="H37" s="35" t="s">
        <v>131</v>
      </c>
      <c r="I37" s="35">
        <v>144</v>
      </c>
      <c r="J37" s="35">
        <v>18</v>
      </c>
      <c r="K37" s="308"/>
      <c r="L37" s="308"/>
      <c r="M37" s="308"/>
      <c r="N37" s="308"/>
    </row>
    <row r="38" spans="2:14" s="44" customFormat="1" x14ac:dyDescent="0.25">
      <c r="B38" s="304">
        <v>5</v>
      </c>
      <c r="C38" s="310">
        <v>1</v>
      </c>
      <c r="D38" s="310">
        <v>7</v>
      </c>
      <c r="E38" s="34">
        <v>0</v>
      </c>
      <c r="F38" s="34">
        <v>0</v>
      </c>
      <c r="G38" s="34">
        <v>1</v>
      </c>
      <c r="H38" s="34">
        <v>2</v>
      </c>
      <c r="I38" s="34">
        <v>0</v>
      </c>
      <c r="J38" s="34">
        <v>162</v>
      </c>
      <c r="K38" s="304" t="s">
        <v>1082</v>
      </c>
      <c r="L38" s="301" t="s">
        <v>991</v>
      </c>
      <c r="M38" s="301" t="s">
        <v>1083</v>
      </c>
      <c r="N38" s="301"/>
    </row>
    <row r="39" spans="2:14" s="44" customFormat="1" x14ac:dyDescent="0.25">
      <c r="B39" s="302"/>
      <c r="C39" s="311"/>
      <c r="D39" s="311"/>
      <c r="E39" s="34">
        <v>1</v>
      </c>
      <c r="F39" s="34">
        <v>2</v>
      </c>
      <c r="G39" s="34">
        <v>1</v>
      </c>
      <c r="H39" s="34">
        <v>2</v>
      </c>
      <c r="I39" s="34">
        <v>0</v>
      </c>
      <c r="J39" s="34">
        <v>162</v>
      </c>
      <c r="K39" s="302"/>
      <c r="L39" s="307"/>
      <c r="M39" s="307"/>
      <c r="N39" s="307"/>
    </row>
    <row r="40" spans="2:14" s="44" customFormat="1" x14ac:dyDescent="0.25">
      <c r="B40" s="302"/>
      <c r="C40" s="311"/>
      <c r="D40" s="311"/>
      <c r="E40" s="34" t="s">
        <v>984</v>
      </c>
      <c r="F40" s="34" t="s">
        <v>984</v>
      </c>
      <c r="G40" s="34" t="s">
        <v>984</v>
      </c>
      <c r="H40" s="34" t="s">
        <v>984</v>
      </c>
      <c r="I40" s="34" t="s">
        <v>984</v>
      </c>
      <c r="J40" s="34" t="s">
        <v>984</v>
      </c>
      <c r="K40" s="302"/>
      <c r="L40" s="307"/>
      <c r="M40" s="307"/>
      <c r="N40" s="307"/>
    </row>
    <row r="41" spans="2:14" s="44" customFormat="1" x14ac:dyDescent="0.25">
      <c r="B41" s="302"/>
      <c r="C41" s="312"/>
      <c r="D41" s="312"/>
      <c r="E41" s="34">
        <v>6</v>
      </c>
      <c r="F41" s="34">
        <v>12</v>
      </c>
      <c r="G41" s="34">
        <v>1</v>
      </c>
      <c r="H41" s="34">
        <v>2</v>
      </c>
      <c r="I41" s="34">
        <v>0</v>
      </c>
      <c r="J41" s="34">
        <v>162</v>
      </c>
      <c r="K41" s="302"/>
      <c r="L41" s="307"/>
      <c r="M41" s="307"/>
      <c r="N41" s="307"/>
    </row>
    <row r="42" spans="2:14" s="44" customFormat="1" ht="14.45" customHeight="1" x14ac:dyDescent="0.25">
      <c r="B42" s="302"/>
      <c r="C42" s="35">
        <v>1</v>
      </c>
      <c r="D42" s="35">
        <v>1</v>
      </c>
      <c r="E42" s="35">
        <v>0</v>
      </c>
      <c r="F42" s="35">
        <v>0</v>
      </c>
      <c r="G42" s="35">
        <v>0</v>
      </c>
      <c r="H42" s="35" t="s">
        <v>131</v>
      </c>
      <c r="I42" s="35">
        <v>0</v>
      </c>
      <c r="J42" s="35">
        <v>91</v>
      </c>
      <c r="K42" s="302"/>
      <c r="L42" s="307"/>
      <c r="M42" s="307"/>
      <c r="N42" s="307"/>
    </row>
    <row r="43" spans="2:14" s="44" customFormat="1" x14ac:dyDescent="0.25">
      <c r="B43" s="302"/>
      <c r="C43" s="35">
        <v>2</v>
      </c>
      <c r="D43" s="35">
        <v>1</v>
      </c>
      <c r="E43" s="35">
        <v>0</v>
      </c>
      <c r="F43" s="35">
        <v>0</v>
      </c>
      <c r="G43" s="35">
        <v>0</v>
      </c>
      <c r="H43" s="35" t="s">
        <v>131</v>
      </c>
      <c r="I43" s="35">
        <v>91</v>
      </c>
      <c r="J43" s="35">
        <v>71</v>
      </c>
      <c r="K43" s="302"/>
      <c r="L43" s="307"/>
      <c r="M43" s="307"/>
      <c r="N43" s="307"/>
    </row>
    <row r="44" spans="2:14" s="44" customFormat="1" x14ac:dyDescent="0.25">
      <c r="B44" s="302"/>
      <c r="C44" s="43" t="s">
        <v>984</v>
      </c>
      <c r="D44" s="43" t="s">
        <v>984</v>
      </c>
      <c r="E44" s="43" t="s">
        <v>984</v>
      </c>
      <c r="F44" s="43" t="s">
        <v>984</v>
      </c>
      <c r="G44" s="43" t="s">
        <v>984</v>
      </c>
      <c r="H44" s="43" t="s">
        <v>984</v>
      </c>
      <c r="I44" s="43" t="s">
        <v>984</v>
      </c>
      <c r="J44" s="43" t="s">
        <v>984</v>
      </c>
      <c r="K44" s="302"/>
      <c r="L44" s="307"/>
      <c r="M44" s="307"/>
      <c r="N44" s="307"/>
    </row>
    <row r="45" spans="2:14" s="44" customFormat="1" x14ac:dyDescent="0.25">
      <c r="B45" s="302"/>
      <c r="C45" s="35">
        <v>27</v>
      </c>
      <c r="D45" s="35">
        <v>1</v>
      </c>
      <c r="E45" s="35">
        <v>6</v>
      </c>
      <c r="F45" s="35">
        <v>13</v>
      </c>
      <c r="G45" s="35">
        <v>0</v>
      </c>
      <c r="H45" s="35" t="s">
        <v>131</v>
      </c>
      <c r="I45" s="35">
        <v>0</v>
      </c>
      <c r="J45" s="35">
        <v>91</v>
      </c>
      <c r="K45" s="302"/>
      <c r="L45" s="307"/>
      <c r="M45" s="307"/>
      <c r="N45" s="307"/>
    </row>
    <row r="46" spans="2:14" s="44" customFormat="1" x14ac:dyDescent="0.25">
      <c r="B46" s="303"/>
      <c r="C46" s="35">
        <v>28</v>
      </c>
      <c r="D46" s="35">
        <v>1</v>
      </c>
      <c r="E46" s="35">
        <v>6</v>
      </c>
      <c r="F46" s="35">
        <v>13</v>
      </c>
      <c r="G46" s="35">
        <v>0</v>
      </c>
      <c r="H46" s="35" t="s">
        <v>131</v>
      </c>
      <c r="I46" s="35">
        <v>91</v>
      </c>
      <c r="J46" s="35">
        <v>71</v>
      </c>
      <c r="K46" s="303"/>
      <c r="L46" s="308"/>
      <c r="M46" s="308"/>
      <c r="N46" s="308"/>
    </row>
    <row r="47" spans="2:14" s="44" customFormat="1" x14ac:dyDescent="0.25">
      <c r="B47" s="304">
        <v>6</v>
      </c>
      <c r="C47" s="310">
        <v>1</v>
      </c>
      <c r="D47" s="310">
        <v>9</v>
      </c>
      <c r="E47" s="34">
        <v>0</v>
      </c>
      <c r="F47" s="34">
        <v>0</v>
      </c>
      <c r="G47" s="34">
        <v>0</v>
      </c>
      <c r="H47" s="34">
        <v>1</v>
      </c>
      <c r="I47" s="34">
        <v>18</v>
      </c>
      <c r="J47" s="34">
        <v>18</v>
      </c>
      <c r="K47" s="301" t="s">
        <v>1084</v>
      </c>
      <c r="L47" s="301" t="s">
        <v>994</v>
      </c>
      <c r="M47" s="301" t="s">
        <v>1085</v>
      </c>
      <c r="N47" s="301"/>
    </row>
    <row r="48" spans="2:14" s="44" customFormat="1" x14ac:dyDescent="0.25">
      <c r="B48" s="302"/>
      <c r="C48" s="311"/>
      <c r="D48" s="311"/>
      <c r="E48" s="34">
        <v>1</v>
      </c>
      <c r="F48" s="34">
        <v>0</v>
      </c>
      <c r="G48" s="34">
        <v>0</v>
      </c>
      <c r="H48" s="34">
        <v>1</v>
      </c>
      <c r="I48" s="34">
        <v>0</v>
      </c>
      <c r="J48" s="34">
        <v>18</v>
      </c>
      <c r="K48" s="307"/>
      <c r="L48" s="307"/>
      <c r="M48" s="307"/>
      <c r="N48" s="307"/>
    </row>
    <row r="49" spans="2:14" s="44" customFormat="1" x14ac:dyDescent="0.25">
      <c r="B49" s="302"/>
      <c r="C49" s="311"/>
      <c r="D49" s="311"/>
      <c r="E49" s="34" t="s">
        <v>984</v>
      </c>
      <c r="F49" s="34" t="s">
        <v>984</v>
      </c>
      <c r="G49" s="34" t="s">
        <v>984</v>
      </c>
      <c r="H49" s="34" t="s">
        <v>984</v>
      </c>
      <c r="I49" s="34" t="s">
        <v>984</v>
      </c>
      <c r="J49" s="34" t="s">
        <v>984</v>
      </c>
      <c r="K49" s="307"/>
      <c r="L49" s="307"/>
      <c r="M49" s="307"/>
      <c r="N49" s="307"/>
    </row>
    <row r="50" spans="2:14" s="44" customFormat="1" x14ac:dyDescent="0.25">
      <c r="B50" s="302"/>
      <c r="C50" s="312"/>
      <c r="D50" s="312"/>
      <c r="E50" s="34">
        <v>8</v>
      </c>
      <c r="F50" s="34">
        <v>0</v>
      </c>
      <c r="G50" s="34">
        <v>0</v>
      </c>
      <c r="H50" s="34">
        <v>1</v>
      </c>
      <c r="I50" s="34">
        <v>126</v>
      </c>
      <c r="J50" s="34">
        <v>18</v>
      </c>
      <c r="K50" s="307"/>
      <c r="L50" s="307"/>
      <c r="M50" s="307"/>
      <c r="N50" s="307"/>
    </row>
    <row r="51" spans="2:14" s="44" customFormat="1" x14ac:dyDescent="0.25">
      <c r="B51" s="302"/>
      <c r="C51" s="315">
        <v>1</v>
      </c>
      <c r="D51" s="315">
        <v>6</v>
      </c>
      <c r="E51" s="35">
        <v>0</v>
      </c>
      <c r="F51" s="35">
        <v>0</v>
      </c>
      <c r="G51" s="35">
        <v>0</v>
      </c>
      <c r="H51" s="35" t="s">
        <v>131</v>
      </c>
      <c r="I51" s="35">
        <v>0</v>
      </c>
      <c r="J51" s="35">
        <v>18</v>
      </c>
      <c r="K51" s="307"/>
      <c r="L51" s="307"/>
      <c r="M51" s="307"/>
      <c r="N51" s="307"/>
    </row>
    <row r="52" spans="2:14" s="44" customFormat="1" x14ac:dyDescent="0.25">
      <c r="B52" s="302"/>
      <c r="C52" s="318"/>
      <c r="D52" s="318"/>
      <c r="E52" s="43" t="s">
        <v>984</v>
      </c>
      <c r="F52" s="43" t="s">
        <v>984</v>
      </c>
      <c r="G52" s="43" t="s">
        <v>984</v>
      </c>
      <c r="H52" s="43" t="s">
        <v>984</v>
      </c>
      <c r="I52" s="43" t="s">
        <v>984</v>
      </c>
      <c r="J52" s="43" t="s">
        <v>984</v>
      </c>
      <c r="K52" s="307"/>
      <c r="L52" s="307"/>
      <c r="M52" s="307"/>
      <c r="N52" s="307"/>
    </row>
    <row r="53" spans="2:14" s="44" customFormat="1" x14ac:dyDescent="0.25">
      <c r="B53" s="302"/>
      <c r="C53" s="316"/>
      <c r="D53" s="316"/>
      <c r="E53" s="35">
        <v>5</v>
      </c>
      <c r="F53" s="35">
        <v>0</v>
      </c>
      <c r="G53" s="35">
        <v>0</v>
      </c>
      <c r="H53" s="35" t="s">
        <v>131</v>
      </c>
      <c r="I53" s="35">
        <v>90</v>
      </c>
      <c r="J53" s="35">
        <v>1</v>
      </c>
      <c r="K53" s="307"/>
      <c r="L53" s="307"/>
      <c r="M53" s="307"/>
      <c r="N53" s="307"/>
    </row>
    <row r="54" spans="2:14" s="44" customFormat="1" x14ac:dyDescent="0.25">
      <c r="B54" s="302"/>
      <c r="C54" s="315">
        <v>2</v>
      </c>
      <c r="D54" s="315">
        <v>4</v>
      </c>
      <c r="E54" s="35">
        <v>5</v>
      </c>
      <c r="F54" s="35">
        <v>0</v>
      </c>
      <c r="G54" s="35">
        <v>0</v>
      </c>
      <c r="H54" s="35" t="s">
        <v>131</v>
      </c>
      <c r="I54" s="35">
        <v>91</v>
      </c>
      <c r="J54" s="35">
        <v>17</v>
      </c>
      <c r="K54" s="307"/>
      <c r="L54" s="307"/>
      <c r="M54" s="307"/>
      <c r="N54" s="307"/>
    </row>
    <row r="55" spans="2:14" s="44" customFormat="1" x14ac:dyDescent="0.25">
      <c r="B55" s="302"/>
      <c r="C55" s="318"/>
      <c r="D55" s="318"/>
      <c r="E55" s="43" t="s">
        <v>984</v>
      </c>
      <c r="F55" s="43" t="s">
        <v>984</v>
      </c>
      <c r="G55" s="43" t="s">
        <v>984</v>
      </c>
      <c r="H55" s="43" t="s">
        <v>984</v>
      </c>
      <c r="I55" s="43" t="s">
        <v>984</v>
      </c>
      <c r="J55" s="43" t="s">
        <v>984</v>
      </c>
      <c r="K55" s="307"/>
      <c r="L55" s="307"/>
      <c r="M55" s="307"/>
      <c r="N55" s="307"/>
    </row>
    <row r="56" spans="2:14" s="44" customFormat="1" x14ac:dyDescent="0.25">
      <c r="B56" s="303"/>
      <c r="C56" s="316"/>
      <c r="D56" s="316"/>
      <c r="E56" s="35">
        <v>8</v>
      </c>
      <c r="F56" s="35">
        <v>0</v>
      </c>
      <c r="G56" s="35">
        <v>0</v>
      </c>
      <c r="H56" s="35" t="s">
        <v>131</v>
      </c>
      <c r="I56" s="35">
        <v>144</v>
      </c>
      <c r="J56" s="35">
        <v>18</v>
      </c>
      <c r="K56" s="308"/>
      <c r="L56" s="308"/>
      <c r="M56" s="308"/>
      <c r="N56" s="308"/>
    </row>
    <row r="57" spans="2:14" s="44" customFormat="1" x14ac:dyDescent="0.25">
      <c r="B57" s="304">
        <v>7</v>
      </c>
      <c r="C57" s="310">
        <v>1</v>
      </c>
      <c r="D57" s="310">
        <v>6</v>
      </c>
      <c r="E57" s="34">
        <v>0</v>
      </c>
      <c r="F57" s="34">
        <v>0</v>
      </c>
      <c r="G57" s="34">
        <v>0</v>
      </c>
      <c r="H57" s="34">
        <v>1</v>
      </c>
      <c r="I57" s="34">
        <v>0</v>
      </c>
      <c r="J57" s="34">
        <v>18</v>
      </c>
      <c r="K57" s="301" t="s">
        <v>1086</v>
      </c>
      <c r="L57" s="301" t="s">
        <v>988</v>
      </c>
      <c r="M57" s="301" t="s">
        <v>1087</v>
      </c>
      <c r="N57" s="301"/>
    </row>
    <row r="58" spans="2:14" s="44" customFormat="1" x14ac:dyDescent="0.25">
      <c r="B58" s="302"/>
      <c r="C58" s="311"/>
      <c r="D58" s="311"/>
      <c r="E58" s="34">
        <v>1</v>
      </c>
      <c r="F58" s="34">
        <v>0</v>
      </c>
      <c r="G58" s="34">
        <v>0</v>
      </c>
      <c r="H58" s="34">
        <v>1</v>
      </c>
      <c r="I58" s="34">
        <v>36</v>
      </c>
      <c r="J58" s="34">
        <v>18</v>
      </c>
      <c r="K58" s="307"/>
      <c r="L58" s="307"/>
      <c r="M58" s="307"/>
      <c r="N58" s="307"/>
    </row>
    <row r="59" spans="2:14" s="44" customFormat="1" x14ac:dyDescent="0.25">
      <c r="B59" s="302"/>
      <c r="C59" s="311"/>
      <c r="D59" s="311"/>
      <c r="E59" s="34" t="s">
        <v>984</v>
      </c>
      <c r="F59" s="34" t="s">
        <v>984</v>
      </c>
      <c r="G59" s="34" t="s">
        <v>984</v>
      </c>
      <c r="H59" s="34" t="s">
        <v>984</v>
      </c>
      <c r="I59" s="34" t="s">
        <v>984</v>
      </c>
      <c r="J59" s="34" t="s">
        <v>984</v>
      </c>
      <c r="K59" s="307"/>
      <c r="L59" s="307"/>
      <c r="M59" s="307"/>
      <c r="N59" s="307"/>
    </row>
    <row r="60" spans="2:14" s="44" customFormat="1" x14ac:dyDescent="0.25">
      <c r="B60" s="302"/>
      <c r="C60" s="312"/>
      <c r="D60" s="312"/>
      <c r="E60" s="34">
        <v>5</v>
      </c>
      <c r="F60" s="34">
        <v>0</v>
      </c>
      <c r="G60" s="34">
        <v>0</v>
      </c>
      <c r="H60" s="34">
        <v>1</v>
      </c>
      <c r="I60" s="34">
        <v>126</v>
      </c>
      <c r="J60" s="34">
        <v>18</v>
      </c>
      <c r="K60" s="307"/>
      <c r="L60" s="307"/>
      <c r="M60" s="307"/>
      <c r="N60" s="307"/>
    </row>
    <row r="61" spans="2:14" s="44" customFormat="1" x14ac:dyDescent="0.25">
      <c r="B61" s="302"/>
      <c r="C61" s="315">
        <v>1</v>
      </c>
      <c r="D61" s="315">
        <v>4</v>
      </c>
      <c r="E61" s="35">
        <v>0</v>
      </c>
      <c r="F61" s="35">
        <v>0</v>
      </c>
      <c r="G61" s="35">
        <v>0</v>
      </c>
      <c r="H61" s="35" t="s">
        <v>131</v>
      </c>
      <c r="I61" s="35">
        <v>0</v>
      </c>
      <c r="J61" s="35">
        <v>18</v>
      </c>
      <c r="K61" s="307"/>
      <c r="L61" s="307"/>
      <c r="M61" s="307"/>
      <c r="N61" s="307"/>
    </row>
    <row r="62" spans="2:14" s="44" customFormat="1" x14ac:dyDescent="0.25">
      <c r="B62" s="302"/>
      <c r="C62" s="318"/>
      <c r="D62" s="318"/>
      <c r="E62" s="43" t="s">
        <v>984</v>
      </c>
      <c r="F62" s="43" t="s">
        <v>984</v>
      </c>
      <c r="G62" s="43" t="s">
        <v>984</v>
      </c>
      <c r="H62" s="43" t="s">
        <v>984</v>
      </c>
      <c r="I62" s="43" t="s">
        <v>984</v>
      </c>
      <c r="J62" s="43" t="s">
        <v>984</v>
      </c>
      <c r="K62" s="307"/>
      <c r="L62" s="307"/>
      <c r="M62" s="307"/>
      <c r="N62" s="307"/>
    </row>
    <row r="63" spans="2:14" s="44" customFormat="1" x14ac:dyDescent="0.25">
      <c r="B63" s="302"/>
      <c r="C63" s="316"/>
      <c r="D63" s="316"/>
      <c r="E63" s="35">
        <v>3</v>
      </c>
      <c r="F63" s="35">
        <v>0</v>
      </c>
      <c r="G63" s="35">
        <v>0</v>
      </c>
      <c r="H63" s="35" t="s">
        <v>131</v>
      </c>
      <c r="I63" s="35">
        <v>90</v>
      </c>
      <c r="J63" s="35">
        <v>1</v>
      </c>
      <c r="K63" s="307"/>
      <c r="L63" s="307"/>
      <c r="M63" s="307"/>
      <c r="N63" s="307"/>
    </row>
    <row r="64" spans="2:14" s="44" customFormat="1" ht="14.45" customHeight="1" x14ac:dyDescent="0.25">
      <c r="B64" s="302"/>
      <c r="C64" s="315">
        <v>2</v>
      </c>
      <c r="D64" s="315">
        <v>3</v>
      </c>
      <c r="E64" s="35">
        <v>3</v>
      </c>
      <c r="F64" s="35">
        <v>0</v>
      </c>
      <c r="G64" s="35">
        <v>0</v>
      </c>
      <c r="H64" s="35" t="s">
        <v>131</v>
      </c>
      <c r="I64" s="35">
        <v>91</v>
      </c>
      <c r="J64" s="35">
        <v>17</v>
      </c>
      <c r="K64" s="307"/>
      <c r="L64" s="307"/>
      <c r="M64" s="307"/>
      <c r="N64" s="307"/>
    </row>
    <row r="65" spans="2:14" s="44" customFormat="1" x14ac:dyDescent="0.25">
      <c r="B65" s="302"/>
      <c r="C65" s="318"/>
      <c r="D65" s="318"/>
      <c r="E65" s="43" t="s">
        <v>984</v>
      </c>
      <c r="F65" s="43" t="s">
        <v>984</v>
      </c>
      <c r="G65" s="43" t="s">
        <v>984</v>
      </c>
      <c r="H65" s="43" t="s">
        <v>984</v>
      </c>
      <c r="I65" s="43" t="s">
        <v>984</v>
      </c>
      <c r="J65" s="43" t="s">
        <v>984</v>
      </c>
      <c r="K65" s="307"/>
      <c r="L65" s="307"/>
      <c r="M65" s="307"/>
      <c r="N65" s="307"/>
    </row>
    <row r="66" spans="2:14" s="44" customFormat="1" x14ac:dyDescent="0.25">
      <c r="B66" s="303"/>
      <c r="C66" s="316"/>
      <c r="D66" s="316"/>
      <c r="E66" s="35">
        <v>5</v>
      </c>
      <c r="F66" s="35">
        <v>0</v>
      </c>
      <c r="G66" s="35">
        <v>0</v>
      </c>
      <c r="H66" s="35" t="s">
        <v>131</v>
      </c>
      <c r="I66" s="35">
        <v>126</v>
      </c>
      <c r="J66" s="35">
        <v>18</v>
      </c>
      <c r="K66" s="308"/>
      <c r="L66" s="308"/>
      <c r="M66" s="308"/>
      <c r="N66" s="308"/>
    </row>
    <row r="67" spans="2:14" s="44" customFormat="1" x14ac:dyDescent="0.25">
      <c r="B67" s="304">
        <v>8</v>
      </c>
      <c r="C67" s="310">
        <v>1</v>
      </c>
      <c r="D67" s="310">
        <v>6</v>
      </c>
      <c r="E67" s="34">
        <v>0</v>
      </c>
      <c r="F67" s="34">
        <v>0</v>
      </c>
      <c r="G67" s="34">
        <v>0</v>
      </c>
      <c r="H67" s="34">
        <v>1</v>
      </c>
      <c r="I67" s="34">
        <v>18</v>
      </c>
      <c r="J67" s="34">
        <v>18</v>
      </c>
      <c r="K67" s="301" t="s">
        <v>1088</v>
      </c>
      <c r="L67" s="301" t="s">
        <v>994</v>
      </c>
      <c r="M67" s="301" t="s">
        <v>1089</v>
      </c>
      <c r="N67" s="301"/>
    </row>
    <row r="68" spans="2:14" s="44" customFormat="1" x14ac:dyDescent="0.25">
      <c r="B68" s="302"/>
      <c r="C68" s="311"/>
      <c r="D68" s="311"/>
      <c r="E68" s="34">
        <v>1</v>
      </c>
      <c r="F68" s="34">
        <v>0</v>
      </c>
      <c r="G68" s="34">
        <v>0</v>
      </c>
      <c r="H68" s="34">
        <v>1</v>
      </c>
      <c r="I68" s="34">
        <v>0</v>
      </c>
      <c r="J68" s="34">
        <v>18</v>
      </c>
      <c r="K68" s="307"/>
      <c r="L68" s="307"/>
      <c r="M68" s="307"/>
      <c r="N68" s="307"/>
    </row>
    <row r="69" spans="2:14" s="44" customFormat="1" x14ac:dyDescent="0.25">
      <c r="B69" s="302"/>
      <c r="C69" s="311"/>
      <c r="D69" s="311"/>
      <c r="E69" s="34" t="s">
        <v>984</v>
      </c>
      <c r="F69" s="34" t="s">
        <v>984</v>
      </c>
      <c r="G69" s="34" t="s">
        <v>984</v>
      </c>
      <c r="H69" s="34" t="s">
        <v>984</v>
      </c>
      <c r="I69" s="34" t="s">
        <v>984</v>
      </c>
      <c r="J69" s="34" t="s">
        <v>984</v>
      </c>
      <c r="K69" s="307"/>
      <c r="L69" s="307"/>
      <c r="M69" s="307"/>
      <c r="N69" s="307"/>
    </row>
    <row r="70" spans="2:14" s="44" customFormat="1" x14ac:dyDescent="0.25">
      <c r="B70" s="302"/>
      <c r="C70" s="312"/>
      <c r="D70" s="312"/>
      <c r="E70" s="34">
        <v>5</v>
      </c>
      <c r="F70" s="34">
        <v>0</v>
      </c>
      <c r="G70" s="34">
        <v>0</v>
      </c>
      <c r="H70" s="34">
        <v>1</v>
      </c>
      <c r="I70" s="34">
        <v>108</v>
      </c>
      <c r="J70" s="34">
        <v>18</v>
      </c>
      <c r="K70" s="307"/>
      <c r="L70" s="307"/>
      <c r="M70" s="307"/>
      <c r="N70" s="307"/>
    </row>
    <row r="71" spans="2:14" s="44" customFormat="1" x14ac:dyDescent="0.25">
      <c r="B71" s="302"/>
      <c r="C71" s="315">
        <v>1</v>
      </c>
      <c r="D71" s="315">
        <v>4</v>
      </c>
      <c r="E71" s="35">
        <v>0</v>
      </c>
      <c r="F71" s="35">
        <v>0</v>
      </c>
      <c r="G71" s="35">
        <v>0</v>
      </c>
      <c r="H71" s="35" t="s">
        <v>131</v>
      </c>
      <c r="I71" s="35">
        <v>0</v>
      </c>
      <c r="J71" s="35">
        <v>18</v>
      </c>
      <c r="K71" s="307"/>
      <c r="L71" s="307"/>
      <c r="M71" s="307"/>
      <c r="N71" s="307"/>
    </row>
    <row r="72" spans="2:14" s="44" customFormat="1" x14ac:dyDescent="0.25">
      <c r="B72" s="302"/>
      <c r="C72" s="318"/>
      <c r="D72" s="318"/>
      <c r="E72" s="43" t="s">
        <v>984</v>
      </c>
      <c r="F72" s="43" t="s">
        <v>984</v>
      </c>
      <c r="G72" s="43" t="s">
        <v>984</v>
      </c>
      <c r="H72" s="43" t="s">
        <v>984</v>
      </c>
      <c r="I72" s="43" t="s">
        <v>984</v>
      </c>
      <c r="J72" s="43" t="s">
        <v>984</v>
      </c>
      <c r="K72" s="307"/>
      <c r="L72" s="307"/>
      <c r="M72" s="307"/>
      <c r="N72" s="307"/>
    </row>
    <row r="73" spans="2:14" s="44" customFormat="1" x14ac:dyDescent="0.25">
      <c r="B73" s="302"/>
      <c r="C73" s="316"/>
      <c r="D73" s="316"/>
      <c r="E73" s="35">
        <v>3</v>
      </c>
      <c r="F73" s="35">
        <v>0</v>
      </c>
      <c r="G73" s="35">
        <v>0</v>
      </c>
      <c r="H73" s="35" t="s">
        <v>131</v>
      </c>
      <c r="I73" s="35">
        <v>90</v>
      </c>
      <c r="J73" s="35">
        <v>1</v>
      </c>
      <c r="K73" s="307"/>
      <c r="L73" s="307"/>
      <c r="M73" s="307"/>
      <c r="N73" s="307"/>
    </row>
    <row r="74" spans="2:14" s="44" customFormat="1" x14ac:dyDescent="0.25">
      <c r="B74" s="302"/>
      <c r="C74" s="315">
        <v>2</v>
      </c>
      <c r="D74" s="315">
        <v>3</v>
      </c>
      <c r="E74" s="35">
        <v>3</v>
      </c>
      <c r="F74" s="35">
        <v>0</v>
      </c>
      <c r="G74" s="35">
        <v>0</v>
      </c>
      <c r="H74" s="35" t="s">
        <v>131</v>
      </c>
      <c r="I74" s="35">
        <v>91</v>
      </c>
      <c r="J74" s="35">
        <v>17</v>
      </c>
      <c r="K74" s="307"/>
      <c r="L74" s="307"/>
      <c r="M74" s="307"/>
      <c r="N74" s="307"/>
    </row>
    <row r="75" spans="2:14" s="44" customFormat="1" x14ac:dyDescent="0.25">
      <c r="B75" s="302"/>
      <c r="C75" s="318"/>
      <c r="D75" s="318"/>
      <c r="E75" s="43" t="s">
        <v>984</v>
      </c>
      <c r="F75" s="43" t="s">
        <v>984</v>
      </c>
      <c r="G75" s="43" t="s">
        <v>984</v>
      </c>
      <c r="H75" s="43" t="s">
        <v>984</v>
      </c>
      <c r="I75" s="43" t="s">
        <v>984</v>
      </c>
      <c r="J75" s="43" t="s">
        <v>984</v>
      </c>
      <c r="K75" s="307"/>
      <c r="L75" s="307"/>
      <c r="M75" s="307"/>
      <c r="N75" s="307"/>
    </row>
    <row r="76" spans="2:14" s="44" customFormat="1" x14ac:dyDescent="0.25">
      <c r="B76" s="303"/>
      <c r="C76" s="316"/>
      <c r="D76" s="316"/>
      <c r="E76" s="35">
        <v>5</v>
      </c>
      <c r="F76" s="35">
        <v>0</v>
      </c>
      <c r="G76" s="35">
        <v>0</v>
      </c>
      <c r="H76" s="35" t="s">
        <v>131</v>
      </c>
      <c r="I76" s="35">
        <v>126</v>
      </c>
      <c r="J76" s="35">
        <v>18</v>
      </c>
      <c r="K76" s="308"/>
      <c r="L76" s="308"/>
      <c r="M76" s="308"/>
      <c r="N76" s="308"/>
    </row>
    <row r="77" spans="2:14" s="44" customFormat="1" x14ac:dyDescent="0.25">
      <c r="B77" s="396">
        <v>42614</v>
      </c>
      <c r="C77" s="34">
        <v>1</v>
      </c>
      <c r="D77" s="34">
        <v>1</v>
      </c>
      <c r="E77" s="34">
        <v>0</v>
      </c>
      <c r="F77" s="34">
        <v>0</v>
      </c>
      <c r="G77" s="34">
        <v>0</v>
      </c>
      <c r="H77" s="34">
        <v>14</v>
      </c>
      <c r="I77" s="34">
        <v>0</v>
      </c>
      <c r="J77" s="34">
        <v>162</v>
      </c>
      <c r="K77" s="304" t="s">
        <v>1090</v>
      </c>
      <c r="L77" s="301" t="s">
        <v>980</v>
      </c>
      <c r="M77" s="301" t="s">
        <v>1091</v>
      </c>
      <c r="N77" s="301"/>
    </row>
    <row r="78" spans="2:14" s="44" customFormat="1" x14ac:dyDescent="0.25">
      <c r="B78" s="302"/>
      <c r="C78" s="35">
        <v>1</v>
      </c>
      <c r="D78" s="35">
        <v>1</v>
      </c>
      <c r="E78" s="35">
        <v>0</v>
      </c>
      <c r="F78" s="35">
        <v>0</v>
      </c>
      <c r="G78" s="35">
        <v>0</v>
      </c>
      <c r="H78" s="35" t="s">
        <v>131</v>
      </c>
      <c r="I78" s="35">
        <v>0</v>
      </c>
      <c r="J78" s="35">
        <v>156</v>
      </c>
      <c r="K78" s="302"/>
      <c r="L78" s="307"/>
      <c r="M78" s="307"/>
      <c r="N78" s="307"/>
    </row>
    <row r="79" spans="2:14" s="44" customFormat="1" x14ac:dyDescent="0.25">
      <c r="B79" s="302"/>
      <c r="C79" s="35">
        <v>2</v>
      </c>
      <c r="D79" s="35">
        <v>1</v>
      </c>
      <c r="E79" s="35">
        <v>0</v>
      </c>
      <c r="F79" s="35">
        <v>0</v>
      </c>
      <c r="G79" s="35">
        <v>0</v>
      </c>
      <c r="H79" s="35" t="s">
        <v>131</v>
      </c>
      <c r="I79" s="35">
        <v>156</v>
      </c>
      <c r="J79" s="35">
        <v>6</v>
      </c>
      <c r="K79" s="302"/>
      <c r="L79" s="307"/>
      <c r="M79" s="307"/>
      <c r="N79" s="307"/>
    </row>
    <row r="80" spans="2:14" s="44" customFormat="1" x14ac:dyDescent="0.25">
      <c r="B80" s="302"/>
      <c r="C80" s="43" t="s">
        <v>984</v>
      </c>
      <c r="D80" s="43" t="s">
        <v>984</v>
      </c>
      <c r="E80" s="43" t="s">
        <v>984</v>
      </c>
      <c r="F80" s="43" t="s">
        <v>984</v>
      </c>
      <c r="G80" s="43" t="s">
        <v>984</v>
      </c>
      <c r="H80" s="43" t="s">
        <v>984</v>
      </c>
      <c r="I80" s="43" t="s">
        <v>984</v>
      </c>
      <c r="J80" s="43" t="s">
        <v>984</v>
      </c>
      <c r="K80" s="302"/>
      <c r="L80" s="307"/>
      <c r="M80" s="307"/>
      <c r="N80" s="307"/>
    </row>
    <row r="81" spans="2:14" s="44" customFormat="1" x14ac:dyDescent="0.25">
      <c r="B81" s="302"/>
      <c r="C81" s="35">
        <v>27</v>
      </c>
      <c r="D81" s="35">
        <v>1</v>
      </c>
      <c r="E81" s="35">
        <v>0</v>
      </c>
      <c r="F81" s="35">
        <v>13</v>
      </c>
      <c r="G81" s="35">
        <v>0</v>
      </c>
      <c r="H81" s="35" t="s">
        <v>131</v>
      </c>
      <c r="I81" s="35">
        <v>0</v>
      </c>
      <c r="J81" s="35">
        <v>156</v>
      </c>
      <c r="K81" s="302"/>
      <c r="L81" s="307"/>
      <c r="M81" s="307"/>
      <c r="N81" s="307"/>
    </row>
    <row r="82" spans="2:14" s="44" customFormat="1" ht="15.75" thickBot="1" x14ac:dyDescent="0.3">
      <c r="B82" s="400"/>
      <c r="C82" s="35">
        <v>28</v>
      </c>
      <c r="D82" s="35">
        <v>1</v>
      </c>
      <c r="E82" s="35">
        <v>0</v>
      </c>
      <c r="F82" s="35">
        <v>13</v>
      </c>
      <c r="G82" s="35">
        <v>0</v>
      </c>
      <c r="H82" s="35" t="s">
        <v>131</v>
      </c>
      <c r="I82" s="35">
        <v>156</v>
      </c>
      <c r="J82" s="35">
        <v>6</v>
      </c>
      <c r="K82" s="400"/>
      <c r="L82" s="401"/>
      <c r="M82" s="401"/>
      <c r="N82" s="401"/>
    </row>
    <row r="83" spans="2:14" s="44" customFormat="1" ht="15.75" thickBot="1" x14ac:dyDescent="0.3">
      <c r="B83" s="388" t="s">
        <v>1003</v>
      </c>
      <c r="C83" s="389"/>
      <c r="D83" s="389"/>
      <c r="E83" s="389"/>
      <c r="F83" s="389"/>
      <c r="G83" s="389"/>
      <c r="H83" s="389"/>
      <c r="I83" s="389"/>
      <c r="J83" s="389"/>
      <c r="K83" s="389"/>
      <c r="L83" s="389"/>
      <c r="M83" s="389"/>
      <c r="N83" s="390"/>
    </row>
    <row r="84" spans="2:14" s="44" customFormat="1" x14ac:dyDescent="0.25">
      <c r="B84" s="395">
        <v>17</v>
      </c>
      <c r="C84" s="34">
        <v>1</v>
      </c>
      <c r="D84" s="34">
        <v>1</v>
      </c>
      <c r="E84" s="34">
        <v>0</v>
      </c>
      <c r="F84" s="34">
        <v>0</v>
      </c>
      <c r="G84" s="34">
        <v>0</v>
      </c>
      <c r="H84" s="34">
        <v>14</v>
      </c>
      <c r="I84" s="34">
        <v>0</v>
      </c>
      <c r="J84" s="34">
        <v>162</v>
      </c>
      <c r="K84" s="395" t="s">
        <v>1042</v>
      </c>
      <c r="L84" s="394" t="s">
        <v>980</v>
      </c>
      <c r="M84" s="394" t="s">
        <v>1043</v>
      </c>
      <c r="N84" s="394"/>
    </row>
    <row r="85" spans="2:14" s="44" customFormat="1" x14ac:dyDescent="0.25">
      <c r="B85" s="302"/>
      <c r="C85" s="35">
        <v>1</v>
      </c>
      <c r="D85" s="35">
        <v>1</v>
      </c>
      <c r="E85" s="35">
        <v>0</v>
      </c>
      <c r="F85" s="35">
        <v>0</v>
      </c>
      <c r="G85" s="35">
        <v>0</v>
      </c>
      <c r="H85" s="35" t="s">
        <v>131</v>
      </c>
      <c r="I85" s="35">
        <v>0</v>
      </c>
      <c r="J85" s="35">
        <v>30</v>
      </c>
      <c r="K85" s="302"/>
      <c r="L85" s="307"/>
      <c r="M85" s="307"/>
      <c r="N85" s="307"/>
    </row>
    <row r="86" spans="2:14" s="44" customFormat="1" x14ac:dyDescent="0.25">
      <c r="B86" s="302"/>
      <c r="C86" s="35">
        <v>2</v>
      </c>
      <c r="D86" s="35">
        <v>1</v>
      </c>
      <c r="E86" s="35">
        <v>0</v>
      </c>
      <c r="F86" s="35">
        <v>0</v>
      </c>
      <c r="G86" s="35">
        <v>0</v>
      </c>
      <c r="H86" s="35" t="s">
        <v>131</v>
      </c>
      <c r="I86" s="35">
        <v>30</v>
      </c>
      <c r="J86" s="35">
        <v>30</v>
      </c>
      <c r="K86" s="302"/>
      <c r="L86" s="307"/>
      <c r="M86" s="307"/>
      <c r="N86" s="307"/>
    </row>
    <row r="87" spans="2:14" s="44" customFormat="1" x14ac:dyDescent="0.25">
      <c r="B87" s="302"/>
      <c r="C87" s="43" t="s">
        <v>984</v>
      </c>
      <c r="D87" s="43" t="s">
        <v>984</v>
      </c>
      <c r="E87" s="43" t="s">
        <v>984</v>
      </c>
      <c r="F87" s="43" t="s">
        <v>984</v>
      </c>
      <c r="G87" s="43" t="s">
        <v>984</v>
      </c>
      <c r="H87" s="43" t="s">
        <v>984</v>
      </c>
      <c r="I87" s="43" t="s">
        <v>984</v>
      </c>
      <c r="J87" s="43" t="s">
        <v>984</v>
      </c>
      <c r="K87" s="302"/>
      <c r="L87" s="307"/>
      <c r="M87" s="307"/>
      <c r="N87" s="307"/>
    </row>
    <row r="88" spans="2:14" s="44" customFormat="1" x14ac:dyDescent="0.25">
      <c r="B88" s="302"/>
      <c r="C88" s="35">
        <v>6</v>
      </c>
      <c r="D88" s="35">
        <v>1</v>
      </c>
      <c r="E88" s="35">
        <v>0</v>
      </c>
      <c r="F88" s="35">
        <v>0</v>
      </c>
      <c r="G88" s="35">
        <v>0</v>
      </c>
      <c r="H88" s="35" t="s">
        <v>131</v>
      </c>
      <c r="I88" s="35">
        <v>150</v>
      </c>
      <c r="J88" s="35">
        <v>12</v>
      </c>
      <c r="K88" s="302"/>
      <c r="L88" s="307"/>
      <c r="M88" s="307"/>
      <c r="N88" s="307"/>
    </row>
    <row r="89" spans="2:14" s="44" customFormat="1" x14ac:dyDescent="0.25">
      <c r="B89" s="302"/>
      <c r="C89" s="43" t="s">
        <v>984</v>
      </c>
      <c r="D89" s="43" t="s">
        <v>984</v>
      </c>
      <c r="E89" s="43" t="s">
        <v>984</v>
      </c>
      <c r="F89" s="43" t="s">
        <v>984</v>
      </c>
      <c r="G89" s="43" t="s">
        <v>984</v>
      </c>
      <c r="H89" s="43" t="s">
        <v>984</v>
      </c>
      <c r="I89" s="43" t="s">
        <v>984</v>
      </c>
      <c r="J89" s="43" t="s">
        <v>984</v>
      </c>
      <c r="K89" s="302"/>
      <c r="L89" s="307"/>
      <c r="M89" s="307"/>
      <c r="N89" s="307"/>
    </row>
    <row r="90" spans="2:14" s="44" customFormat="1" x14ac:dyDescent="0.25">
      <c r="B90" s="302"/>
      <c r="C90" s="35">
        <v>78</v>
      </c>
      <c r="D90" s="35">
        <v>1</v>
      </c>
      <c r="E90" s="35">
        <v>0</v>
      </c>
      <c r="F90" s="35">
        <v>13</v>
      </c>
      <c r="G90" s="35">
        <v>0</v>
      </c>
      <c r="H90" s="35" t="s">
        <v>131</v>
      </c>
      <c r="I90" s="35">
        <v>0</v>
      </c>
      <c r="J90" s="35">
        <v>30</v>
      </c>
      <c r="K90" s="302"/>
      <c r="L90" s="307"/>
      <c r="M90" s="307"/>
      <c r="N90" s="307"/>
    </row>
    <row r="91" spans="2:14" s="44" customFormat="1" x14ac:dyDescent="0.25">
      <c r="B91" s="302"/>
      <c r="C91" s="35">
        <v>79</v>
      </c>
      <c r="D91" s="35">
        <v>1</v>
      </c>
      <c r="E91" s="35">
        <v>0</v>
      </c>
      <c r="F91" s="35">
        <v>13</v>
      </c>
      <c r="G91" s="35">
        <v>0</v>
      </c>
      <c r="H91" s="35" t="s">
        <v>131</v>
      </c>
      <c r="I91" s="35">
        <v>30</v>
      </c>
      <c r="J91" s="35">
        <v>30</v>
      </c>
      <c r="K91" s="302"/>
      <c r="L91" s="307"/>
      <c r="M91" s="307"/>
      <c r="N91" s="307"/>
    </row>
    <row r="92" spans="2:14" s="44" customFormat="1" x14ac:dyDescent="0.25">
      <c r="B92" s="302"/>
      <c r="C92" s="43" t="s">
        <v>984</v>
      </c>
      <c r="D92" s="43" t="s">
        <v>984</v>
      </c>
      <c r="E92" s="43" t="s">
        <v>984</v>
      </c>
      <c r="F92" s="43" t="s">
        <v>984</v>
      </c>
      <c r="G92" s="43" t="s">
        <v>984</v>
      </c>
      <c r="H92" s="43" t="s">
        <v>984</v>
      </c>
      <c r="I92" s="43" t="s">
        <v>984</v>
      </c>
      <c r="J92" s="43" t="s">
        <v>984</v>
      </c>
      <c r="K92" s="302"/>
      <c r="L92" s="307"/>
      <c r="M92" s="307"/>
      <c r="N92" s="307"/>
    </row>
    <row r="93" spans="2:14" s="44" customFormat="1" x14ac:dyDescent="0.25">
      <c r="B93" s="303"/>
      <c r="C93" s="35">
        <v>84</v>
      </c>
      <c r="D93" s="35">
        <v>1</v>
      </c>
      <c r="E93" s="35">
        <v>0</v>
      </c>
      <c r="F93" s="35">
        <v>13</v>
      </c>
      <c r="G93" s="35">
        <v>0</v>
      </c>
      <c r="H93" s="35" t="s">
        <v>131</v>
      </c>
      <c r="I93" s="35">
        <v>150</v>
      </c>
      <c r="J93" s="35">
        <v>12</v>
      </c>
      <c r="K93" s="303"/>
      <c r="L93" s="308"/>
      <c r="M93" s="308"/>
      <c r="N93" s="308"/>
    </row>
    <row r="94" spans="2:14" s="44" customFormat="1" x14ac:dyDescent="0.25">
      <c r="B94" s="304">
        <v>18</v>
      </c>
      <c r="C94" s="34">
        <v>1</v>
      </c>
      <c r="D94" s="34">
        <v>1</v>
      </c>
      <c r="E94" s="34">
        <v>0</v>
      </c>
      <c r="F94" s="34">
        <v>0</v>
      </c>
      <c r="G94" s="34">
        <v>0</v>
      </c>
      <c r="H94" s="34">
        <v>1</v>
      </c>
      <c r="I94" s="34">
        <v>0</v>
      </c>
      <c r="J94" s="34">
        <v>162</v>
      </c>
      <c r="K94" s="304" t="s">
        <v>1044</v>
      </c>
      <c r="L94" s="301" t="s">
        <v>982</v>
      </c>
      <c r="M94" s="301" t="s">
        <v>1045</v>
      </c>
      <c r="N94" s="301"/>
    </row>
    <row r="95" spans="2:14" s="44" customFormat="1" x14ac:dyDescent="0.25">
      <c r="B95" s="302"/>
      <c r="C95" s="34">
        <v>2</v>
      </c>
      <c r="D95" s="34">
        <v>1</v>
      </c>
      <c r="E95" s="34">
        <v>0</v>
      </c>
      <c r="F95" s="34">
        <v>1</v>
      </c>
      <c r="G95" s="34">
        <v>0</v>
      </c>
      <c r="H95" s="34">
        <v>1</v>
      </c>
      <c r="I95" s="34">
        <v>0</v>
      </c>
      <c r="J95" s="34">
        <v>162</v>
      </c>
      <c r="K95" s="302"/>
      <c r="L95" s="307"/>
      <c r="M95" s="307"/>
      <c r="N95" s="307"/>
    </row>
    <row r="96" spans="2:14" s="44" customFormat="1" x14ac:dyDescent="0.25">
      <c r="B96" s="302"/>
      <c r="C96" s="34" t="s">
        <v>984</v>
      </c>
      <c r="D96" s="34" t="s">
        <v>984</v>
      </c>
      <c r="E96" s="34" t="s">
        <v>984</v>
      </c>
      <c r="F96" s="34" t="s">
        <v>984</v>
      </c>
      <c r="G96" s="34" t="s">
        <v>984</v>
      </c>
      <c r="H96" s="34" t="s">
        <v>984</v>
      </c>
      <c r="I96" s="34" t="s">
        <v>984</v>
      </c>
      <c r="J96" s="34" t="s">
        <v>984</v>
      </c>
      <c r="K96" s="302"/>
      <c r="L96" s="307"/>
      <c r="M96" s="307"/>
      <c r="N96" s="307"/>
    </row>
    <row r="97" spans="2:14" s="44" customFormat="1" ht="14.45" customHeight="1" x14ac:dyDescent="0.25">
      <c r="B97" s="302"/>
      <c r="C97" s="34">
        <v>14</v>
      </c>
      <c r="D97" s="34">
        <v>1</v>
      </c>
      <c r="E97" s="34">
        <v>0</v>
      </c>
      <c r="F97" s="34">
        <v>13</v>
      </c>
      <c r="G97" s="34">
        <v>0</v>
      </c>
      <c r="H97" s="34">
        <v>1</v>
      </c>
      <c r="I97" s="34">
        <v>0</v>
      </c>
      <c r="J97" s="34">
        <v>162</v>
      </c>
      <c r="K97" s="302"/>
      <c r="L97" s="307"/>
      <c r="M97" s="307"/>
      <c r="N97" s="307"/>
    </row>
    <row r="98" spans="2:14" s="44" customFormat="1" x14ac:dyDescent="0.25">
      <c r="B98" s="302"/>
      <c r="C98" s="35">
        <v>1</v>
      </c>
      <c r="D98" s="35">
        <v>1</v>
      </c>
      <c r="E98" s="35">
        <v>0</v>
      </c>
      <c r="F98" s="35">
        <v>0</v>
      </c>
      <c r="G98" s="35">
        <v>0</v>
      </c>
      <c r="H98" s="35" t="s">
        <v>131</v>
      </c>
      <c r="I98" s="35">
        <v>0</v>
      </c>
      <c r="J98" s="35">
        <v>30</v>
      </c>
      <c r="K98" s="302"/>
      <c r="L98" s="307"/>
      <c r="M98" s="307"/>
      <c r="N98" s="307"/>
    </row>
    <row r="99" spans="2:14" s="44" customFormat="1" x14ac:dyDescent="0.25">
      <c r="B99" s="302"/>
      <c r="C99" s="35">
        <v>2</v>
      </c>
      <c r="D99" s="35">
        <v>1</v>
      </c>
      <c r="E99" s="35">
        <v>0</v>
      </c>
      <c r="F99" s="35">
        <v>0</v>
      </c>
      <c r="G99" s="35">
        <v>0</v>
      </c>
      <c r="H99" s="35" t="s">
        <v>131</v>
      </c>
      <c r="I99" s="35">
        <v>30</v>
      </c>
      <c r="J99" s="35">
        <v>30</v>
      </c>
      <c r="K99" s="302"/>
      <c r="L99" s="307"/>
      <c r="M99" s="307"/>
      <c r="N99" s="307"/>
    </row>
    <row r="100" spans="2:14" s="44" customFormat="1" x14ac:dyDescent="0.25">
      <c r="B100" s="302"/>
      <c r="C100" s="43" t="s">
        <v>984</v>
      </c>
      <c r="D100" s="43" t="s">
        <v>984</v>
      </c>
      <c r="E100" s="43" t="s">
        <v>984</v>
      </c>
      <c r="F100" s="43" t="s">
        <v>984</v>
      </c>
      <c r="G100" s="43" t="s">
        <v>984</v>
      </c>
      <c r="H100" s="43" t="s">
        <v>984</v>
      </c>
      <c r="I100" s="43" t="s">
        <v>984</v>
      </c>
      <c r="J100" s="43" t="s">
        <v>984</v>
      </c>
      <c r="K100" s="302"/>
      <c r="L100" s="307"/>
      <c r="M100" s="307"/>
      <c r="N100" s="307"/>
    </row>
    <row r="101" spans="2:14" s="44" customFormat="1" x14ac:dyDescent="0.25">
      <c r="B101" s="302"/>
      <c r="C101" s="35">
        <v>6</v>
      </c>
      <c r="D101" s="35">
        <v>1</v>
      </c>
      <c r="E101" s="35">
        <v>0</v>
      </c>
      <c r="F101" s="35">
        <v>0</v>
      </c>
      <c r="G101" s="35">
        <v>0</v>
      </c>
      <c r="H101" s="35" t="s">
        <v>131</v>
      </c>
      <c r="I101" s="35">
        <v>150</v>
      </c>
      <c r="J101" s="35">
        <v>12</v>
      </c>
      <c r="K101" s="302"/>
      <c r="L101" s="307"/>
      <c r="M101" s="307"/>
      <c r="N101" s="307"/>
    </row>
    <row r="102" spans="2:14" s="44" customFormat="1" x14ac:dyDescent="0.25">
      <c r="B102" s="302"/>
      <c r="C102" s="43" t="s">
        <v>984</v>
      </c>
      <c r="D102" s="43" t="s">
        <v>984</v>
      </c>
      <c r="E102" s="43" t="s">
        <v>984</v>
      </c>
      <c r="F102" s="43" t="s">
        <v>984</v>
      </c>
      <c r="G102" s="43" t="s">
        <v>984</v>
      </c>
      <c r="H102" s="43" t="s">
        <v>984</v>
      </c>
      <c r="I102" s="43" t="s">
        <v>984</v>
      </c>
      <c r="J102" s="43" t="s">
        <v>984</v>
      </c>
      <c r="K102" s="302"/>
      <c r="L102" s="307"/>
      <c r="M102" s="307"/>
      <c r="N102" s="307"/>
    </row>
    <row r="103" spans="2:14" s="44" customFormat="1" x14ac:dyDescent="0.25">
      <c r="B103" s="302"/>
      <c r="C103" s="35">
        <v>78</v>
      </c>
      <c r="D103" s="35">
        <v>1</v>
      </c>
      <c r="E103" s="35">
        <v>0</v>
      </c>
      <c r="F103" s="35">
        <v>13</v>
      </c>
      <c r="G103" s="35">
        <v>0</v>
      </c>
      <c r="H103" s="35" t="s">
        <v>131</v>
      </c>
      <c r="I103" s="35">
        <v>0</v>
      </c>
      <c r="J103" s="35">
        <v>30</v>
      </c>
      <c r="K103" s="302"/>
      <c r="L103" s="307"/>
      <c r="M103" s="307"/>
      <c r="N103" s="307"/>
    </row>
    <row r="104" spans="2:14" s="44" customFormat="1" x14ac:dyDescent="0.25">
      <c r="B104" s="302"/>
      <c r="C104" s="35">
        <v>79</v>
      </c>
      <c r="D104" s="35">
        <v>1</v>
      </c>
      <c r="E104" s="35">
        <v>0</v>
      </c>
      <c r="F104" s="35">
        <v>13</v>
      </c>
      <c r="G104" s="35">
        <v>0</v>
      </c>
      <c r="H104" s="35" t="s">
        <v>131</v>
      </c>
      <c r="I104" s="35">
        <v>30</v>
      </c>
      <c r="J104" s="35">
        <v>30</v>
      </c>
      <c r="K104" s="302"/>
      <c r="L104" s="307"/>
      <c r="M104" s="307"/>
      <c r="N104" s="307"/>
    </row>
    <row r="105" spans="2:14" s="44" customFormat="1" x14ac:dyDescent="0.25">
      <c r="B105" s="302"/>
      <c r="C105" s="43" t="s">
        <v>984</v>
      </c>
      <c r="D105" s="43" t="s">
        <v>984</v>
      </c>
      <c r="E105" s="43" t="s">
        <v>984</v>
      </c>
      <c r="F105" s="43" t="s">
        <v>984</v>
      </c>
      <c r="G105" s="43" t="s">
        <v>984</v>
      </c>
      <c r="H105" s="43" t="s">
        <v>984</v>
      </c>
      <c r="I105" s="43" t="s">
        <v>984</v>
      </c>
      <c r="J105" s="43" t="s">
        <v>984</v>
      </c>
      <c r="K105" s="302"/>
      <c r="L105" s="307"/>
      <c r="M105" s="307"/>
      <c r="N105" s="307"/>
    </row>
    <row r="106" spans="2:14" s="44" customFormat="1" x14ac:dyDescent="0.25">
      <c r="B106" s="303"/>
      <c r="C106" s="35">
        <v>84</v>
      </c>
      <c r="D106" s="35">
        <v>1</v>
      </c>
      <c r="E106" s="35">
        <v>0</v>
      </c>
      <c r="F106" s="35">
        <v>13</v>
      </c>
      <c r="G106" s="35">
        <v>0</v>
      </c>
      <c r="H106" s="35" t="s">
        <v>131</v>
      </c>
      <c r="I106" s="35">
        <v>150</v>
      </c>
      <c r="J106" s="35">
        <v>12</v>
      </c>
      <c r="K106" s="303"/>
      <c r="L106" s="308"/>
      <c r="M106" s="308"/>
      <c r="N106" s="308"/>
    </row>
    <row r="107" spans="2:14" s="44" customFormat="1" x14ac:dyDescent="0.25">
      <c r="B107" s="304">
        <v>19</v>
      </c>
      <c r="C107" s="310">
        <v>1</v>
      </c>
      <c r="D107" s="310">
        <v>11</v>
      </c>
      <c r="E107" s="34">
        <v>0</v>
      </c>
      <c r="F107" s="34">
        <v>0</v>
      </c>
      <c r="G107" s="34">
        <v>0</v>
      </c>
      <c r="H107" s="34">
        <v>14</v>
      </c>
      <c r="I107" s="34">
        <v>0</v>
      </c>
      <c r="J107" s="34">
        <v>15</v>
      </c>
      <c r="K107" s="301" t="s">
        <v>1046</v>
      </c>
      <c r="L107" s="301" t="s">
        <v>986</v>
      </c>
      <c r="M107" s="301" t="s">
        <v>1047</v>
      </c>
      <c r="N107" s="301"/>
    </row>
    <row r="108" spans="2:14" s="44" customFormat="1" x14ac:dyDescent="0.25">
      <c r="B108" s="302"/>
      <c r="C108" s="311"/>
      <c r="D108" s="311"/>
      <c r="E108" s="34">
        <v>1</v>
      </c>
      <c r="F108" s="34">
        <v>0</v>
      </c>
      <c r="G108" s="34">
        <v>0</v>
      </c>
      <c r="H108" s="34">
        <v>14</v>
      </c>
      <c r="I108" s="34">
        <v>15</v>
      </c>
      <c r="J108" s="34">
        <v>15</v>
      </c>
      <c r="K108" s="307"/>
      <c r="L108" s="307"/>
      <c r="M108" s="307"/>
      <c r="N108" s="307"/>
    </row>
    <row r="109" spans="2:14" s="44" customFormat="1" x14ac:dyDescent="0.25">
      <c r="B109" s="302"/>
      <c r="C109" s="311"/>
      <c r="D109" s="311"/>
      <c r="E109" s="34" t="s">
        <v>984</v>
      </c>
      <c r="F109" s="34" t="s">
        <v>984</v>
      </c>
      <c r="G109" s="34" t="s">
        <v>984</v>
      </c>
      <c r="H109" s="34" t="s">
        <v>984</v>
      </c>
      <c r="I109" s="34" t="s">
        <v>984</v>
      </c>
      <c r="J109" s="34" t="s">
        <v>984</v>
      </c>
      <c r="K109" s="307"/>
      <c r="L109" s="307"/>
      <c r="M109" s="307"/>
      <c r="N109" s="307"/>
    </row>
    <row r="110" spans="2:14" s="44" customFormat="1" x14ac:dyDescent="0.25">
      <c r="B110" s="302"/>
      <c r="C110" s="312"/>
      <c r="D110" s="312"/>
      <c r="E110" s="34">
        <v>10</v>
      </c>
      <c r="F110" s="34">
        <v>0</v>
      </c>
      <c r="G110" s="34">
        <v>0</v>
      </c>
      <c r="H110" s="34">
        <v>14</v>
      </c>
      <c r="I110" s="34">
        <v>150</v>
      </c>
      <c r="J110" s="34">
        <v>12</v>
      </c>
      <c r="K110" s="307"/>
      <c r="L110" s="307"/>
      <c r="M110" s="307"/>
      <c r="N110" s="307"/>
    </row>
    <row r="111" spans="2:14" s="44" customFormat="1" x14ac:dyDescent="0.25">
      <c r="B111" s="302"/>
      <c r="C111" s="315">
        <v>1</v>
      </c>
      <c r="D111" s="315">
        <v>2</v>
      </c>
      <c r="E111" s="35">
        <v>0</v>
      </c>
      <c r="F111" s="35">
        <v>0</v>
      </c>
      <c r="G111" s="35">
        <v>0</v>
      </c>
      <c r="H111" s="35" t="s">
        <v>131</v>
      </c>
      <c r="I111" s="35">
        <v>0</v>
      </c>
      <c r="J111" s="35">
        <v>15</v>
      </c>
      <c r="K111" s="307"/>
      <c r="L111" s="307"/>
      <c r="M111" s="307"/>
      <c r="N111" s="307"/>
    </row>
    <row r="112" spans="2:14" s="44" customFormat="1" x14ac:dyDescent="0.25">
      <c r="B112" s="302"/>
      <c r="C112" s="316"/>
      <c r="D112" s="316"/>
      <c r="E112" s="35">
        <v>1</v>
      </c>
      <c r="F112" s="35">
        <v>0</v>
      </c>
      <c r="G112" s="35">
        <v>0</v>
      </c>
      <c r="H112" s="35" t="s">
        <v>131</v>
      </c>
      <c r="I112" s="35">
        <v>15</v>
      </c>
      <c r="J112" s="35">
        <v>15</v>
      </c>
      <c r="K112" s="307"/>
      <c r="L112" s="307"/>
      <c r="M112" s="307"/>
      <c r="N112" s="307"/>
    </row>
    <row r="113" spans="2:14" s="44" customFormat="1" x14ac:dyDescent="0.25">
      <c r="B113" s="302"/>
      <c r="C113" s="43" t="s">
        <v>984</v>
      </c>
      <c r="D113" s="43" t="s">
        <v>984</v>
      </c>
      <c r="E113" s="43" t="s">
        <v>984</v>
      </c>
      <c r="F113" s="43" t="s">
        <v>984</v>
      </c>
      <c r="G113" s="43" t="s">
        <v>984</v>
      </c>
      <c r="H113" s="43" t="s">
        <v>984</v>
      </c>
      <c r="I113" s="43" t="s">
        <v>984</v>
      </c>
      <c r="J113" s="43" t="s">
        <v>984</v>
      </c>
      <c r="K113" s="307"/>
      <c r="L113" s="307"/>
      <c r="M113" s="307"/>
      <c r="N113" s="307"/>
    </row>
    <row r="114" spans="2:14" s="44" customFormat="1" x14ac:dyDescent="0.25">
      <c r="B114" s="302"/>
      <c r="C114" s="315">
        <v>5</v>
      </c>
      <c r="D114" s="315">
        <v>2</v>
      </c>
      <c r="E114" s="35">
        <v>8</v>
      </c>
      <c r="F114" s="35">
        <v>0</v>
      </c>
      <c r="G114" s="35">
        <v>0</v>
      </c>
      <c r="H114" s="35" t="s">
        <v>131</v>
      </c>
      <c r="I114" s="35">
        <v>120</v>
      </c>
      <c r="J114" s="35">
        <v>15</v>
      </c>
      <c r="K114" s="307"/>
      <c r="L114" s="307"/>
      <c r="M114" s="307"/>
      <c r="N114" s="307"/>
    </row>
    <row r="115" spans="2:14" s="44" customFormat="1" x14ac:dyDescent="0.25">
      <c r="B115" s="302"/>
      <c r="C115" s="316"/>
      <c r="D115" s="316"/>
      <c r="E115" s="35">
        <v>9</v>
      </c>
      <c r="F115" s="35">
        <v>0</v>
      </c>
      <c r="G115" s="35">
        <v>0</v>
      </c>
      <c r="H115" s="35" t="s">
        <v>131</v>
      </c>
      <c r="I115" s="35">
        <v>135</v>
      </c>
      <c r="J115" s="35">
        <v>15</v>
      </c>
      <c r="K115" s="307"/>
      <c r="L115" s="307"/>
      <c r="M115" s="307"/>
      <c r="N115" s="307"/>
    </row>
    <row r="116" spans="2:14" s="44" customFormat="1" x14ac:dyDescent="0.25">
      <c r="B116" s="303"/>
      <c r="C116" s="42">
        <v>6</v>
      </c>
      <c r="D116" s="42">
        <v>1</v>
      </c>
      <c r="E116" s="35">
        <v>10</v>
      </c>
      <c r="F116" s="35">
        <v>0</v>
      </c>
      <c r="G116" s="35">
        <v>0</v>
      </c>
      <c r="H116" s="35" t="s">
        <v>131</v>
      </c>
      <c r="I116" s="35">
        <v>150</v>
      </c>
      <c r="J116" s="35">
        <v>12</v>
      </c>
      <c r="K116" s="308"/>
      <c r="L116" s="308"/>
      <c r="M116" s="308"/>
      <c r="N116" s="308"/>
    </row>
    <row r="117" spans="2:14" s="44" customFormat="1" x14ac:dyDescent="0.25">
      <c r="B117" s="304">
        <v>20</v>
      </c>
      <c r="C117" s="310">
        <v>1</v>
      </c>
      <c r="D117" s="310">
        <v>11</v>
      </c>
      <c r="E117" s="34">
        <v>0</v>
      </c>
      <c r="F117" s="34">
        <v>0</v>
      </c>
      <c r="G117" s="34">
        <v>0</v>
      </c>
      <c r="H117" s="34">
        <v>1</v>
      </c>
      <c r="I117" s="34">
        <v>0</v>
      </c>
      <c r="J117" s="34">
        <v>15</v>
      </c>
      <c r="K117" s="301" t="s">
        <v>1048</v>
      </c>
      <c r="L117" s="301" t="s">
        <v>988</v>
      </c>
      <c r="M117" s="301" t="s">
        <v>1049</v>
      </c>
      <c r="N117" s="301"/>
    </row>
    <row r="118" spans="2:14" s="44" customFormat="1" x14ac:dyDescent="0.25">
      <c r="B118" s="302"/>
      <c r="C118" s="311"/>
      <c r="D118" s="311"/>
      <c r="E118" s="34">
        <v>1</v>
      </c>
      <c r="F118" s="34">
        <v>0</v>
      </c>
      <c r="G118" s="34">
        <v>0</v>
      </c>
      <c r="H118" s="34">
        <v>1</v>
      </c>
      <c r="I118" s="34">
        <v>15</v>
      </c>
      <c r="J118" s="34">
        <v>15</v>
      </c>
      <c r="K118" s="307"/>
      <c r="L118" s="307"/>
      <c r="M118" s="307"/>
      <c r="N118" s="307"/>
    </row>
    <row r="119" spans="2:14" s="44" customFormat="1" x14ac:dyDescent="0.25">
      <c r="B119" s="302"/>
      <c r="C119" s="311"/>
      <c r="D119" s="311"/>
      <c r="E119" s="34" t="s">
        <v>984</v>
      </c>
      <c r="F119" s="34" t="s">
        <v>984</v>
      </c>
      <c r="G119" s="34" t="s">
        <v>984</v>
      </c>
      <c r="H119" s="34" t="s">
        <v>984</v>
      </c>
      <c r="I119" s="34" t="s">
        <v>984</v>
      </c>
      <c r="J119" s="34" t="s">
        <v>984</v>
      </c>
      <c r="K119" s="307"/>
      <c r="L119" s="307"/>
      <c r="M119" s="307"/>
      <c r="N119" s="307"/>
    </row>
    <row r="120" spans="2:14" s="44" customFormat="1" x14ac:dyDescent="0.25">
      <c r="B120" s="302"/>
      <c r="C120" s="312"/>
      <c r="D120" s="312"/>
      <c r="E120" s="34">
        <v>10</v>
      </c>
      <c r="F120" s="34">
        <v>0</v>
      </c>
      <c r="G120" s="34">
        <v>0</v>
      </c>
      <c r="H120" s="34">
        <v>1</v>
      </c>
      <c r="I120" s="34">
        <v>150</v>
      </c>
      <c r="J120" s="34">
        <v>12</v>
      </c>
      <c r="K120" s="307"/>
      <c r="L120" s="307"/>
      <c r="M120" s="307"/>
      <c r="N120" s="307"/>
    </row>
    <row r="121" spans="2:14" s="44" customFormat="1" x14ac:dyDescent="0.25">
      <c r="B121" s="302"/>
      <c r="C121" s="315">
        <v>1</v>
      </c>
      <c r="D121" s="315">
        <v>2</v>
      </c>
      <c r="E121" s="35">
        <v>0</v>
      </c>
      <c r="F121" s="35">
        <v>0</v>
      </c>
      <c r="G121" s="35">
        <v>0</v>
      </c>
      <c r="H121" s="35" t="s">
        <v>131</v>
      </c>
      <c r="I121" s="35">
        <v>0</v>
      </c>
      <c r="J121" s="35">
        <v>15</v>
      </c>
      <c r="K121" s="307"/>
      <c r="L121" s="307"/>
      <c r="M121" s="307"/>
      <c r="N121" s="307"/>
    </row>
    <row r="122" spans="2:14" s="44" customFormat="1" x14ac:dyDescent="0.25">
      <c r="B122" s="302"/>
      <c r="C122" s="316"/>
      <c r="D122" s="316"/>
      <c r="E122" s="35">
        <v>1</v>
      </c>
      <c r="F122" s="35">
        <v>0</v>
      </c>
      <c r="G122" s="35">
        <v>0</v>
      </c>
      <c r="H122" s="35" t="s">
        <v>131</v>
      </c>
      <c r="I122" s="35">
        <v>15</v>
      </c>
      <c r="J122" s="35">
        <v>15</v>
      </c>
      <c r="K122" s="307"/>
      <c r="L122" s="307"/>
      <c r="M122" s="307"/>
      <c r="N122" s="307"/>
    </row>
    <row r="123" spans="2:14" s="44" customFormat="1" x14ac:dyDescent="0.25">
      <c r="B123" s="302"/>
      <c r="C123" s="43" t="s">
        <v>984</v>
      </c>
      <c r="D123" s="43" t="s">
        <v>984</v>
      </c>
      <c r="E123" s="43" t="s">
        <v>984</v>
      </c>
      <c r="F123" s="43" t="s">
        <v>984</v>
      </c>
      <c r="G123" s="43" t="s">
        <v>984</v>
      </c>
      <c r="H123" s="43" t="s">
        <v>984</v>
      </c>
      <c r="I123" s="43" t="s">
        <v>984</v>
      </c>
      <c r="J123" s="43" t="s">
        <v>984</v>
      </c>
      <c r="K123" s="307"/>
      <c r="L123" s="307"/>
      <c r="M123" s="307"/>
      <c r="N123" s="307"/>
    </row>
    <row r="124" spans="2:14" s="44" customFormat="1" x14ac:dyDescent="0.25">
      <c r="B124" s="302"/>
      <c r="C124" s="315">
        <v>5</v>
      </c>
      <c r="D124" s="315">
        <v>2</v>
      </c>
      <c r="E124" s="35">
        <v>8</v>
      </c>
      <c r="F124" s="35">
        <v>0</v>
      </c>
      <c r="G124" s="35">
        <v>0</v>
      </c>
      <c r="H124" s="35" t="s">
        <v>131</v>
      </c>
      <c r="I124" s="35">
        <v>120</v>
      </c>
      <c r="J124" s="35">
        <v>15</v>
      </c>
      <c r="K124" s="307"/>
      <c r="L124" s="307"/>
      <c r="M124" s="307"/>
      <c r="N124" s="307"/>
    </row>
    <row r="125" spans="2:14" s="44" customFormat="1" x14ac:dyDescent="0.25">
      <c r="B125" s="302"/>
      <c r="C125" s="316"/>
      <c r="D125" s="316"/>
      <c r="E125" s="35">
        <v>9</v>
      </c>
      <c r="F125" s="35">
        <v>0</v>
      </c>
      <c r="G125" s="35">
        <v>0</v>
      </c>
      <c r="H125" s="35" t="s">
        <v>131</v>
      </c>
      <c r="I125" s="35">
        <v>135</v>
      </c>
      <c r="J125" s="35">
        <v>15</v>
      </c>
      <c r="K125" s="307"/>
      <c r="L125" s="307"/>
      <c r="M125" s="307"/>
      <c r="N125" s="307"/>
    </row>
    <row r="126" spans="2:14" s="44" customFormat="1" x14ac:dyDescent="0.25">
      <c r="B126" s="303"/>
      <c r="C126" s="42">
        <v>6</v>
      </c>
      <c r="D126" s="42">
        <v>1</v>
      </c>
      <c r="E126" s="35">
        <v>10</v>
      </c>
      <c r="F126" s="35">
        <v>0</v>
      </c>
      <c r="G126" s="35">
        <v>0</v>
      </c>
      <c r="H126" s="35" t="s">
        <v>131</v>
      </c>
      <c r="I126" s="35">
        <v>150</v>
      </c>
      <c r="J126" s="35">
        <v>12</v>
      </c>
      <c r="K126" s="308"/>
      <c r="L126" s="308"/>
      <c r="M126" s="308"/>
      <c r="N126" s="308"/>
    </row>
    <row r="127" spans="2:14" s="44" customFormat="1" x14ac:dyDescent="0.25">
      <c r="B127" s="304">
        <v>21</v>
      </c>
      <c r="C127" s="310">
        <v>1</v>
      </c>
      <c r="D127" s="310">
        <v>7</v>
      </c>
      <c r="E127" s="34">
        <v>0</v>
      </c>
      <c r="F127" s="34">
        <v>0</v>
      </c>
      <c r="G127" s="34">
        <v>1</v>
      </c>
      <c r="H127" s="34">
        <v>2</v>
      </c>
      <c r="I127" s="34">
        <v>0</v>
      </c>
      <c r="J127" s="34">
        <v>162</v>
      </c>
      <c r="K127" s="304" t="s">
        <v>1050</v>
      </c>
      <c r="L127" s="301" t="s">
        <v>991</v>
      </c>
      <c r="M127" s="301" t="s">
        <v>1051</v>
      </c>
      <c r="N127" s="301"/>
    </row>
    <row r="128" spans="2:14" s="44" customFormat="1" x14ac:dyDescent="0.25">
      <c r="B128" s="302"/>
      <c r="C128" s="311"/>
      <c r="D128" s="311"/>
      <c r="E128" s="34">
        <v>1</v>
      </c>
      <c r="F128" s="34">
        <v>2</v>
      </c>
      <c r="G128" s="34">
        <v>1</v>
      </c>
      <c r="H128" s="34">
        <v>2</v>
      </c>
      <c r="I128" s="34">
        <v>0</v>
      </c>
      <c r="J128" s="34">
        <v>162</v>
      </c>
      <c r="K128" s="302"/>
      <c r="L128" s="307"/>
      <c r="M128" s="307"/>
      <c r="N128" s="307"/>
    </row>
    <row r="129" spans="2:14" s="44" customFormat="1" x14ac:dyDescent="0.25">
      <c r="B129" s="302"/>
      <c r="C129" s="311"/>
      <c r="D129" s="311"/>
      <c r="E129" s="34" t="s">
        <v>984</v>
      </c>
      <c r="F129" s="34" t="s">
        <v>984</v>
      </c>
      <c r="G129" s="34" t="s">
        <v>984</v>
      </c>
      <c r="H129" s="34" t="s">
        <v>984</v>
      </c>
      <c r="I129" s="34" t="s">
        <v>984</v>
      </c>
      <c r="J129" s="34" t="s">
        <v>984</v>
      </c>
      <c r="K129" s="302"/>
      <c r="L129" s="307"/>
      <c r="M129" s="307"/>
      <c r="N129" s="307"/>
    </row>
    <row r="130" spans="2:14" s="44" customFormat="1" x14ac:dyDescent="0.25">
      <c r="B130" s="302"/>
      <c r="C130" s="312"/>
      <c r="D130" s="312"/>
      <c r="E130" s="34">
        <v>6</v>
      </c>
      <c r="F130" s="34">
        <v>12</v>
      </c>
      <c r="G130" s="34">
        <v>1</v>
      </c>
      <c r="H130" s="34">
        <v>2</v>
      </c>
      <c r="I130" s="34">
        <v>0</v>
      </c>
      <c r="J130" s="34">
        <v>162</v>
      </c>
      <c r="K130" s="302"/>
      <c r="L130" s="307"/>
      <c r="M130" s="307"/>
      <c r="N130" s="307"/>
    </row>
    <row r="131" spans="2:14" s="44" customFormat="1" x14ac:dyDescent="0.25">
      <c r="B131" s="302"/>
      <c r="C131" s="35">
        <v>1</v>
      </c>
      <c r="D131" s="35">
        <v>1</v>
      </c>
      <c r="E131" s="35">
        <v>0</v>
      </c>
      <c r="F131" s="35">
        <v>0</v>
      </c>
      <c r="G131" s="35">
        <v>0</v>
      </c>
      <c r="H131" s="35" t="s">
        <v>131</v>
      </c>
      <c r="I131" s="35">
        <v>0</v>
      </c>
      <c r="J131" s="35">
        <v>30</v>
      </c>
      <c r="K131" s="302"/>
      <c r="L131" s="307"/>
      <c r="M131" s="307"/>
      <c r="N131" s="307"/>
    </row>
    <row r="132" spans="2:14" s="44" customFormat="1" x14ac:dyDescent="0.25">
      <c r="B132" s="302"/>
      <c r="C132" s="35">
        <v>2</v>
      </c>
      <c r="D132" s="35">
        <v>1</v>
      </c>
      <c r="E132" s="35">
        <v>0</v>
      </c>
      <c r="F132" s="35">
        <v>0</v>
      </c>
      <c r="G132" s="35">
        <v>0</v>
      </c>
      <c r="H132" s="35" t="s">
        <v>131</v>
      </c>
      <c r="I132" s="35">
        <v>30</v>
      </c>
      <c r="J132" s="35">
        <v>30</v>
      </c>
      <c r="K132" s="302"/>
      <c r="L132" s="307"/>
      <c r="M132" s="307"/>
      <c r="N132" s="307"/>
    </row>
    <row r="133" spans="2:14" s="44" customFormat="1" x14ac:dyDescent="0.25">
      <c r="B133" s="302"/>
      <c r="C133" s="43" t="s">
        <v>984</v>
      </c>
      <c r="D133" s="43" t="s">
        <v>984</v>
      </c>
      <c r="E133" s="43" t="s">
        <v>984</v>
      </c>
      <c r="F133" s="43" t="s">
        <v>984</v>
      </c>
      <c r="G133" s="43" t="s">
        <v>984</v>
      </c>
      <c r="H133" s="43" t="s">
        <v>984</v>
      </c>
      <c r="I133" s="43" t="s">
        <v>984</v>
      </c>
      <c r="J133" s="43" t="s">
        <v>984</v>
      </c>
      <c r="K133" s="302"/>
      <c r="L133" s="307"/>
      <c r="M133" s="307"/>
      <c r="N133" s="307"/>
    </row>
    <row r="134" spans="2:14" s="44" customFormat="1" x14ac:dyDescent="0.25">
      <c r="B134" s="302"/>
      <c r="C134" s="35">
        <v>6</v>
      </c>
      <c r="D134" s="35">
        <v>1</v>
      </c>
      <c r="E134" s="35">
        <v>0</v>
      </c>
      <c r="F134" s="35">
        <v>0</v>
      </c>
      <c r="G134" s="35">
        <v>0</v>
      </c>
      <c r="H134" s="35" t="s">
        <v>131</v>
      </c>
      <c r="I134" s="35">
        <v>150</v>
      </c>
      <c r="J134" s="35">
        <v>12</v>
      </c>
      <c r="K134" s="302"/>
      <c r="L134" s="307"/>
      <c r="M134" s="307"/>
      <c r="N134" s="307"/>
    </row>
    <row r="135" spans="2:14" s="44" customFormat="1" x14ac:dyDescent="0.25">
      <c r="B135" s="302"/>
      <c r="C135" s="43" t="s">
        <v>984</v>
      </c>
      <c r="D135" s="43" t="s">
        <v>984</v>
      </c>
      <c r="E135" s="43" t="s">
        <v>984</v>
      </c>
      <c r="F135" s="43" t="s">
        <v>984</v>
      </c>
      <c r="G135" s="43" t="s">
        <v>984</v>
      </c>
      <c r="H135" s="43" t="s">
        <v>984</v>
      </c>
      <c r="I135" s="43" t="s">
        <v>984</v>
      </c>
      <c r="J135" s="43" t="s">
        <v>984</v>
      </c>
      <c r="K135" s="302"/>
      <c r="L135" s="307"/>
      <c r="M135" s="307"/>
      <c r="N135" s="307"/>
    </row>
    <row r="136" spans="2:14" s="44" customFormat="1" x14ac:dyDescent="0.25">
      <c r="B136" s="302"/>
      <c r="C136" s="35">
        <v>78</v>
      </c>
      <c r="D136" s="35">
        <v>1</v>
      </c>
      <c r="E136" s="35">
        <v>0</v>
      </c>
      <c r="F136" s="35">
        <v>13</v>
      </c>
      <c r="G136" s="35">
        <v>0</v>
      </c>
      <c r="H136" s="35" t="s">
        <v>131</v>
      </c>
      <c r="I136" s="35">
        <v>0</v>
      </c>
      <c r="J136" s="35">
        <v>30</v>
      </c>
      <c r="K136" s="302"/>
      <c r="L136" s="307"/>
      <c r="M136" s="307"/>
      <c r="N136" s="307"/>
    </row>
    <row r="137" spans="2:14" s="44" customFormat="1" x14ac:dyDescent="0.25">
      <c r="B137" s="302"/>
      <c r="C137" s="35">
        <v>79</v>
      </c>
      <c r="D137" s="35">
        <v>1</v>
      </c>
      <c r="E137" s="35">
        <v>0</v>
      </c>
      <c r="F137" s="35">
        <v>13</v>
      </c>
      <c r="G137" s="35">
        <v>0</v>
      </c>
      <c r="H137" s="35" t="s">
        <v>131</v>
      </c>
      <c r="I137" s="35">
        <v>30</v>
      </c>
      <c r="J137" s="35">
        <v>30</v>
      </c>
      <c r="K137" s="302"/>
      <c r="L137" s="307"/>
      <c r="M137" s="307"/>
      <c r="N137" s="307"/>
    </row>
    <row r="138" spans="2:14" s="44" customFormat="1" x14ac:dyDescent="0.25">
      <c r="B138" s="302"/>
      <c r="C138" s="43" t="s">
        <v>984</v>
      </c>
      <c r="D138" s="43" t="s">
        <v>984</v>
      </c>
      <c r="E138" s="43" t="s">
        <v>984</v>
      </c>
      <c r="F138" s="43" t="s">
        <v>984</v>
      </c>
      <c r="G138" s="43" t="s">
        <v>984</v>
      </c>
      <c r="H138" s="43" t="s">
        <v>984</v>
      </c>
      <c r="I138" s="43" t="s">
        <v>984</v>
      </c>
      <c r="J138" s="43" t="s">
        <v>984</v>
      </c>
      <c r="K138" s="302"/>
      <c r="L138" s="307"/>
      <c r="M138" s="307"/>
      <c r="N138" s="307"/>
    </row>
    <row r="139" spans="2:14" s="44" customFormat="1" x14ac:dyDescent="0.25">
      <c r="B139" s="303"/>
      <c r="C139" s="35">
        <v>84</v>
      </c>
      <c r="D139" s="35">
        <v>1</v>
      </c>
      <c r="E139" s="35">
        <v>0</v>
      </c>
      <c r="F139" s="35">
        <v>13</v>
      </c>
      <c r="G139" s="35">
        <v>0</v>
      </c>
      <c r="H139" s="35" t="s">
        <v>131</v>
      </c>
      <c r="I139" s="35">
        <v>150</v>
      </c>
      <c r="J139" s="35">
        <v>12</v>
      </c>
      <c r="K139" s="303"/>
      <c r="L139" s="308"/>
      <c r="M139" s="308"/>
      <c r="N139" s="308"/>
    </row>
    <row r="140" spans="2:14" s="44" customFormat="1" ht="14.45" customHeight="1" x14ac:dyDescent="0.25">
      <c r="B140" s="304">
        <v>22</v>
      </c>
      <c r="C140" s="310">
        <v>1</v>
      </c>
      <c r="D140" s="310">
        <v>11</v>
      </c>
      <c r="E140" s="34">
        <v>0</v>
      </c>
      <c r="F140" s="34">
        <v>0</v>
      </c>
      <c r="G140" s="34">
        <v>0</v>
      </c>
      <c r="H140" s="34">
        <v>1</v>
      </c>
      <c r="I140" s="34">
        <v>15</v>
      </c>
      <c r="J140" s="34">
        <v>15</v>
      </c>
      <c r="K140" s="301" t="s">
        <v>1052</v>
      </c>
      <c r="L140" s="301" t="s">
        <v>994</v>
      </c>
      <c r="M140" s="301" t="s">
        <v>1053</v>
      </c>
      <c r="N140" s="301"/>
    </row>
    <row r="141" spans="2:14" s="44" customFormat="1" x14ac:dyDescent="0.25">
      <c r="B141" s="302"/>
      <c r="C141" s="311"/>
      <c r="D141" s="311"/>
      <c r="E141" s="34">
        <v>1</v>
      </c>
      <c r="F141" s="34">
        <v>0</v>
      </c>
      <c r="G141" s="34">
        <v>0</v>
      </c>
      <c r="H141" s="34">
        <v>1</v>
      </c>
      <c r="I141" s="34">
        <v>0</v>
      </c>
      <c r="J141" s="34">
        <v>15</v>
      </c>
      <c r="K141" s="307"/>
      <c r="L141" s="307"/>
      <c r="M141" s="307"/>
      <c r="N141" s="307"/>
    </row>
    <row r="142" spans="2:14" s="44" customFormat="1" x14ac:dyDescent="0.25">
      <c r="B142" s="302"/>
      <c r="C142" s="311"/>
      <c r="D142" s="311"/>
      <c r="E142" s="34" t="s">
        <v>984</v>
      </c>
      <c r="F142" s="34" t="s">
        <v>984</v>
      </c>
      <c r="G142" s="34" t="s">
        <v>984</v>
      </c>
      <c r="H142" s="34" t="s">
        <v>984</v>
      </c>
      <c r="I142" s="34" t="s">
        <v>984</v>
      </c>
      <c r="J142" s="34" t="s">
        <v>984</v>
      </c>
      <c r="K142" s="307"/>
      <c r="L142" s="307"/>
      <c r="M142" s="307"/>
      <c r="N142" s="307"/>
    </row>
    <row r="143" spans="2:14" s="44" customFormat="1" x14ac:dyDescent="0.25">
      <c r="B143" s="302"/>
      <c r="C143" s="312"/>
      <c r="D143" s="312"/>
      <c r="E143" s="34">
        <v>10</v>
      </c>
      <c r="F143" s="34">
        <v>0</v>
      </c>
      <c r="G143" s="34">
        <v>0</v>
      </c>
      <c r="H143" s="34">
        <v>1</v>
      </c>
      <c r="I143" s="34">
        <v>150</v>
      </c>
      <c r="J143" s="34">
        <v>12</v>
      </c>
      <c r="K143" s="307"/>
      <c r="L143" s="307"/>
      <c r="M143" s="307"/>
      <c r="N143" s="307"/>
    </row>
    <row r="144" spans="2:14" s="44" customFormat="1" x14ac:dyDescent="0.25">
      <c r="B144" s="302"/>
      <c r="C144" s="315">
        <v>1</v>
      </c>
      <c r="D144" s="315">
        <v>2</v>
      </c>
      <c r="E144" s="35">
        <v>0</v>
      </c>
      <c r="F144" s="35">
        <v>0</v>
      </c>
      <c r="G144" s="35">
        <v>0</v>
      </c>
      <c r="H144" s="35" t="s">
        <v>131</v>
      </c>
      <c r="I144" s="35">
        <v>0</v>
      </c>
      <c r="J144" s="35">
        <v>15</v>
      </c>
      <c r="K144" s="307"/>
      <c r="L144" s="307"/>
      <c r="M144" s="307"/>
      <c r="N144" s="307"/>
    </row>
    <row r="145" spans="2:14" s="44" customFormat="1" x14ac:dyDescent="0.25">
      <c r="B145" s="302"/>
      <c r="C145" s="316"/>
      <c r="D145" s="316"/>
      <c r="E145" s="35">
        <v>1</v>
      </c>
      <c r="F145" s="35">
        <v>0</v>
      </c>
      <c r="G145" s="35">
        <v>0</v>
      </c>
      <c r="H145" s="35" t="s">
        <v>131</v>
      </c>
      <c r="I145" s="35">
        <v>15</v>
      </c>
      <c r="J145" s="35">
        <v>15</v>
      </c>
      <c r="K145" s="307"/>
      <c r="L145" s="307"/>
      <c r="M145" s="307"/>
      <c r="N145" s="307"/>
    </row>
    <row r="146" spans="2:14" s="44" customFormat="1" x14ac:dyDescent="0.25">
      <c r="B146" s="302"/>
      <c r="C146" s="43" t="s">
        <v>984</v>
      </c>
      <c r="D146" s="43" t="s">
        <v>984</v>
      </c>
      <c r="E146" s="43" t="s">
        <v>984</v>
      </c>
      <c r="F146" s="43" t="s">
        <v>984</v>
      </c>
      <c r="G146" s="43" t="s">
        <v>984</v>
      </c>
      <c r="H146" s="43" t="s">
        <v>984</v>
      </c>
      <c r="I146" s="43" t="s">
        <v>984</v>
      </c>
      <c r="J146" s="43" t="s">
        <v>984</v>
      </c>
      <c r="K146" s="307"/>
      <c r="L146" s="307"/>
      <c r="M146" s="307"/>
      <c r="N146" s="307"/>
    </row>
    <row r="147" spans="2:14" s="44" customFormat="1" x14ac:dyDescent="0.25">
      <c r="B147" s="302"/>
      <c r="C147" s="315">
        <v>5</v>
      </c>
      <c r="D147" s="315">
        <v>2</v>
      </c>
      <c r="E147" s="35">
        <v>8</v>
      </c>
      <c r="F147" s="35">
        <v>0</v>
      </c>
      <c r="G147" s="35">
        <v>0</v>
      </c>
      <c r="H147" s="35" t="s">
        <v>131</v>
      </c>
      <c r="I147" s="35">
        <v>120</v>
      </c>
      <c r="J147" s="35">
        <v>15</v>
      </c>
      <c r="K147" s="307"/>
      <c r="L147" s="307"/>
      <c r="M147" s="307"/>
      <c r="N147" s="307"/>
    </row>
    <row r="148" spans="2:14" s="44" customFormat="1" x14ac:dyDescent="0.25">
      <c r="B148" s="302"/>
      <c r="C148" s="316"/>
      <c r="D148" s="316"/>
      <c r="E148" s="35">
        <v>9</v>
      </c>
      <c r="F148" s="35">
        <v>0</v>
      </c>
      <c r="G148" s="35">
        <v>0</v>
      </c>
      <c r="H148" s="35" t="s">
        <v>131</v>
      </c>
      <c r="I148" s="35">
        <v>135</v>
      </c>
      <c r="J148" s="35">
        <v>15</v>
      </c>
      <c r="K148" s="307"/>
      <c r="L148" s="307"/>
      <c r="M148" s="307"/>
      <c r="N148" s="307"/>
    </row>
    <row r="149" spans="2:14" s="44" customFormat="1" x14ac:dyDescent="0.25">
      <c r="B149" s="303"/>
      <c r="C149" s="42">
        <v>6</v>
      </c>
      <c r="D149" s="42">
        <v>1</v>
      </c>
      <c r="E149" s="35">
        <v>10</v>
      </c>
      <c r="F149" s="35">
        <v>0</v>
      </c>
      <c r="G149" s="35">
        <v>0</v>
      </c>
      <c r="H149" s="35" t="s">
        <v>131</v>
      </c>
      <c r="I149" s="35">
        <v>150</v>
      </c>
      <c r="J149" s="35">
        <v>12</v>
      </c>
      <c r="K149" s="308"/>
      <c r="L149" s="308"/>
      <c r="M149" s="308"/>
      <c r="N149" s="308"/>
    </row>
    <row r="150" spans="2:14" s="44" customFormat="1" x14ac:dyDescent="0.25">
      <c r="B150" s="304">
        <v>23</v>
      </c>
      <c r="C150" s="310">
        <v>1</v>
      </c>
      <c r="D150" s="310">
        <v>7</v>
      </c>
      <c r="E150" s="34">
        <v>0</v>
      </c>
      <c r="F150" s="34">
        <v>0</v>
      </c>
      <c r="G150" s="34">
        <v>0</v>
      </c>
      <c r="H150" s="34">
        <v>1</v>
      </c>
      <c r="I150" s="34">
        <v>0</v>
      </c>
      <c r="J150" s="34">
        <v>15</v>
      </c>
      <c r="K150" s="301" t="s">
        <v>1054</v>
      </c>
      <c r="L150" s="301" t="s">
        <v>988</v>
      </c>
      <c r="M150" s="301" t="s">
        <v>1055</v>
      </c>
      <c r="N150" s="301"/>
    </row>
    <row r="151" spans="2:14" s="44" customFormat="1" ht="14.45" customHeight="1" x14ac:dyDescent="0.25">
      <c r="B151" s="302"/>
      <c r="C151" s="311"/>
      <c r="D151" s="311"/>
      <c r="E151" s="34">
        <v>1</v>
      </c>
      <c r="F151" s="34">
        <v>0</v>
      </c>
      <c r="G151" s="34">
        <v>0</v>
      </c>
      <c r="H151" s="34">
        <v>1</v>
      </c>
      <c r="I151" s="34">
        <v>30</v>
      </c>
      <c r="J151" s="34">
        <v>15</v>
      </c>
      <c r="K151" s="307"/>
      <c r="L151" s="307"/>
      <c r="M151" s="307"/>
      <c r="N151" s="307"/>
    </row>
    <row r="152" spans="2:14" s="44" customFormat="1" x14ac:dyDescent="0.25">
      <c r="B152" s="302"/>
      <c r="C152" s="311"/>
      <c r="D152" s="311"/>
      <c r="E152" s="34" t="s">
        <v>984</v>
      </c>
      <c r="F152" s="34" t="s">
        <v>984</v>
      </c>
      <c r="G152" s="34" t="s">
        <v>984</v>
      </c>
      <c r="H152" s="34" t="s">
        <v>984</v>
      </c>
      <c r="I152" s="34" t="s">
        <v>984</v>
      </c>
      <c r="J152" s="34" t="s">
        <v>984</v>
      </c>
      <c r="K152" s="307"/>
      <c r="L152" s="307"/>
      <c r="M152" s="307"/>
      <c r="N152" s="307"/>
    </row>
    <row r="153" spans="2:14" s="44" customFormat="1" x14ac:dyDescent="0.25">
      <c r="B153" s="302"/>
      <c r="C153" s="312"/>
      <c r="D153" s="312"/>
      <c r="E153" s="34">
        <v>6</v>
      </c>
      <c r="F153" s="34">
        <v>0</v>
      </c>
      <c r="G153" s="34">
        <v>0</v>
      </c>
      <c r="H153" s="34">
        <v>1</v>
      </c>
      <c r="I153" s="34">
        <v>150</v>
      </c>
      <c r="J153" s="34">
        <v>12</v>
      </c>
      <c r="K153" s="307"/>
      <c r="L153" s="307"/>
      <c r="M153" s="307"/>
      <c r="N153" s="307"/>
    </row>
    <row r="154" spans="2:14" s="44" customFormat="1" x14ac:dyDescent="0.25">
      <c r="B154" s="302"/>
      <c r="C154" s="315">
        <v>1</v>
      </c>
      <c r="D154" s="315">
        <v>2</v>
      </c>
      <c r="E154" s="35">
        <v>0</v>
      </c>
      <c r="F154" s="35">
        <v>0</v>
      </c>
      <c r="G154" s="35">
        <v>0</v>
      </c>
      <c r="H154" s="35" t="s">
        <v>131</v>
      </c>
      <c r="I154" s="35">
        <v>0</v>
      </c>
      <c r="J154" s="35">
        <v>15</v>
      </c>
      <c r="K154" s="307"/>
      <c r="L154" s="307"/>
      <c r="M154" s="307"/>
      <c r="N154" s="307"/>
    </row>
    <row r="155" spans="2:14" s="44" customFormat="1" x14ac:dyDescent="0.25">
      <c r="B155" s="302"/>
      <c r="C155" s="316"/>
      <c r="D155" s="316"/>
      <c r="E155" s="35">
        <v>1</v>
      </c>
      <c r="F155" s="35">
        <v>0</v>
      </c>
      <c r="G155" s="35">
        <v>0</v>
      </c>
      <c r="H155" s="35" t="s">
        <v>131</v>
      </c>
      <c r="I155" s="35">
        <v>30</v>
      </c>
      <c r="J155" s="35">
        <v>15</v>
      </c>
      <c r="K155" s="307"/>
      <c r="L155" s="307"/>
      <c r="M155" s="307"/>
      <c r="N155" s="307"/>
    </row>
    <row r="156" spans="2:14" s="44" customFormat="1" x14ac:dyDescent="0.25">
      <c r="B156" s="302"/>
      <c r="C156" s="43" t="s">
        <v>984</v>
      </c>
      <c r="D156" s="43" t="s">
        <v>984</v>
      </c>
      <c r="E156" s="43" t="s">
        <v>984</v>
      </c>
      <c r="F156" s="43" t="s">
        <v>984</v>
      </c>
      <c r="G156" s="43" t="s">
        <v>984</v>
      </c>
      <c r="H156" s="43" t="s">
        <v>984</v>
      </c>
      <c r="I156" s="43" t="s">
        <v>984</v>
      </c>
      <c r="J156" s="43" t="s">
        <v>984</v>
      </c>
      <c r="K156" s="307"/>
      <c r="L156" s="307"/>
      <c r="M156" s="307"/>
      <c r="N156" s="307"/>
    </row>
    <row r="157" spans="2:14" s="44" customFormat="1" x14ac:dyDescent="0.25">
      <c r="B157" s="302"/>
      <c r="C157" s="315">
        <v>3</v>
      </c>
      <c r="D157" s="315">
        <v>2</v>
      </c>
      <c r="E157" s="35">
        <v>8</v>
      </c>
      <c r="F157" s="35">
        <v>0</v>
      </c>
      <c r="G157" s="35">
        <v>0</v>
      </c>
      <c r="H157" s="35" t="s">
        <v>131</v>
      </c>
      <c r="I157" s="35">
        <v>90</v>
      </c>
      <c r="J157" s="35">
        <v>15</v>
      </c>
      <c r="K157" s="307"/>
      <c r="L157" s="307"/>
      <c r="M157" s="307"/>
      <c r="N157" s="307"/>
    </row>
    <row r="158" spans="2:14" s="44" customFormat="1" x14ac:dyDescent="0.25">
      <c r="B158" s="302"/>
      <c r="C158" s="316"/>
      <c r="D158" s="316"/>
      <c r="E158" s="35">
        <v>9</v>
      </c>
      <c r="F158" s="35">
        <v>0</v>
      </c>
      <c r="G158" s="35">
        <v>0</v>
      </c>
      <c r="H158" s="35" t="s">
        <v>131</v>
      </c>
      <c r="I158" s="35">
        <v>120</v>
      </c>
      <c r="J158" s="35">
        <v>15</v>
      </c>
      <c r="K158" s="307"/>
      <c r="L158" s="307"/>
      <c r="M158" s="307"/>
      <c r="N158" s="307"/>
    </row>
    <row r="159" spans="2:14" s="44" customFormat="1" x14ac:dyDescent="0.25">
      <c r="B159" s="303"/>
      <c r="C159" s="42">
        <v>4</v>
      </c>
      <c r="D159" s="42">
        <v>1</v>
      </c>
      <c r="E159" s="35">
        <v>10</v>
      </c>
      <c r="F159" s="35">
        <v>0</v>
      </c>
      <c r="G159" s="35">
        <v>0</v>
      </c>
      <c r="H159" s="35" t="s">
        <v>131</v>
      </c>
      <c r="I159" s="35">
        <v>150</v>
      </c>
      <c r="J159" s="35">
        <v>12</v>
      </c>
      <c r="K159" s="308"/>
      <c r="L159" s="308"/>
      <c r="M159" s="308"/>
      <c r="N159" s="308"/>
    </row>
    <row r="160" spans="2:14" s="44" customFormat="1" x14ac:dyDescent="0.25">
      <c r="B160" s="304">
        <v>24</v>
      </c>
      <c r="C160" s="310">
        <v>1</v>
      </c>
      <c r="D160" s="310">
        <v>7</v>
      </c>
      <c r="E160" s="34">
        <v>0</v>
      </c>
      <c r="F160" s="34">
        <v>0</v>
      </c>
      <c r="G160" s="34">
        <v>0</v>
      </c>
      <c r="H160" s="34">
        <v>1</v>
      </c>
      <c r="I160" s="34">
        <v>30</v>
      </c>
      <c r="J160" s="34">
        <v>15</v>
      </c>
      <c r="K160" s="301" t="s">
        <v>1056</v>
      </c>
      <c r="L160" s="301" t="s">
        <v>994</v>
      </c>
      <c r="M160" s="301" t="s">
        <v>1057</v>
      </c>
      <c r="N160" s="301"/>
    </row>
    <row r="161" spans="2:14" s="44" customFormat="1" x14ac:dyDescent="0.25">
      <c r="B161" s="302"/>
      <c r="C161" s="311"/>
      <c r="D161" s="311"/>
      <c r="E161" s="34">
        <v>1</v>
      </c>
      <c r="F161" s="34">
        <v>0</v>
      </c>
      <c r="G161" s="34">
        <v>0</v>
      </c>
      <c r="H161" s="34">
        <v>1</v>
      </c>
      <c r="I161" s="34">
        <v>0</v>
      </c>
      <c r="J161" s="34">
        <v>15</v>
      </c>
      <c r="K161" s="307"/>
      <c r="L161" s="307"/>
      <c r="M161" s="307"/>
      <c r="N161" s="307"/>
    </row>
    <row r="162" spans="2:14" s="44" customFormat="1" ht="14.45" customHeight="1" x14ac:dyDescent="0.25">
      <c r="B162" s="302"/>
      <c r="C162" s="311"/>
      <c r="D162" s="311"/>
      <c r="E162" s="34" t="s">
        <v>984</v>
      </c>
      <c r="F162" s="34" t="s">
        <v>984</v>
      </c>
      <c r="G162" s="34" t="s">
        <v>984</v>
      </c>
      <c r="H162" s="34" t="s">
        <v>984</v>
      </c>
      <c r="I162" s="34" t="s">
        <v>984</v>
      </c>
      <c r="J162" s="34" t="s">
        <v>984</v>
      </c>
      <c r="K162" s="307"/>
      <c r="L162" s="307"/>
      <c r="M162" s="307"/>
      <c r="N162" s="307"/>
    </row>
    <row r="163" spans="2:14" s="44" customFormat="1" x14ac:dyDescent="0.25">
      <c r="B163" s="302"/>
      <c r="C163" s="312"/>
      <c r="D163" s="312"/>
      <c r="E163" s="34">
        <v>6</v>
      </c>
      <c r="F163" s="34">
        <v>0</v>
      </c>
      <c r="G163" s="34">
        <v>0</v>
      </c>
      <c r="H163" s="34">
        <v>1</v>
      </c>
      <c r="I163" s="34">
        <v>150</v>
      </c>
      <c r="J163" s="34">
        <v>12</v>
      </c>
      <c r="K163" s="307"/>
      <c r="L163" s="307"/>
      <c r="M163" s="307"/>
      <c r="N163" s="307"/>
    </row>
    <row r="164" spans="2:14" s="44" customFormat="1" x14ac:dyDescent="0.25">
      <c r="B164" s="302"/>
      <c r="C164" s="315">
        <v>1</v>
      </c>
      <c r="D164" s="315">
        <v>2</v>
      </c>
      <c r="E164" s="35">
        <v>0</v>
      </c>
      <c r="F164" s="35">
        <v>0</v>
      </c>
      <c r="G164" s="35">
        <v>0</v>
      </c>
      <c r="H164" s="35" t="s">
        <v>131</v>
      </c>
      <c r="I164" s="35">
        <v>0</v>
      </c>
      <c r="J164" s="35">
        <v>15</v>
      </c>
      <c r="K164" s="307"/>
      <c r="L164" s="307"/>
      <c r="M164" s="307"/>
      <c r="N164" s="307"/>
    </row>
    <row r="165" spans="2:14" s="44" customFormat="1" x14ac:dyDescent="0.25">
      <c r="B165" s="302"/>
      <c r="C165" s="316"/>
      <c r="D165" s="316"/>
      <c r="E165" s="35">
        <v>1</v>
      </c>
      <c r="F165" s="35">
        <v>0</v>
      </c>
      <c r="G165" s="35">
        <v>0</v>
      </c>
      <c r="H165" s="35" t="s">
        <v>131</v>
      </c>
      <c r="I165" s="35">
        <v>30</v>
      </c>
      <c r="J165" s="35">
        <v>15</v>
      </c>
      <c r="K165" s="307"/>
      <c r="L165" s="307"/>
      <c r="M165" s="307"/>
      <c r="N165" s="307"/>
    </row>
    <row r="166" spans="2:14" s="44" customFormat="1" x14ac:dyDescent="0.25">
      <c r="B166" s="302"/>
      <c r="C166" s="43" t="s">
        <v>984</v>
      </c>
      <c r="D166" s="43" t="s">
        <v>984</v>
      </c>
      <c r="E166" s="43" t="s">
        <v>984</v>
      </c>
      <c r="F166" s="43" t="s">
        <v>984</v>
      </c>
      <c r="G166" s="43" t="s">
        <v>984</v>
      </c>
      <c r="H166" s="43" t="s">
        <v>984</v>
      </c>
      <c r="I166" s="43" t="s">
        <v>984</v>
      </c>
      <c r="J166" s="43" t="s">
        <v>984</v>
      </c>
      <c r="K166" s="307"/>
      <c r="L166" s="307"/>
      <c r="M166" s="307"/>
      <c r="N166" s="307"/>
    </row>
    <row r="167" spans="2:14" s="44" customFormat="1" x14ac:dyDescent="0.25">
      <c r="B167" s="302"/>
      <c r="C167" s="315">
        <v>3</v>
      </c>
      <c r="D167" s="315">
        <v>2</v>
      </c>
      <c r="E167" s="35">
        <v>8</v>
      </c>
      <c r="F167" s="35">
        <v>0</v>
      </c>
      <c r="G167" s="35">
        <v>0</v>
      </c>
      <c r="H167" s="35" t="s">
        <v>131</v>
      </c>
      <c r="I167" s="35">
        <v>90</v>
      </c>
      <c r="J167" s="35">
        <v>15</v>
      </c>
      <c r="K167" s="307"/>
      <c r="L167" s="307"/>
      <c r="M167" s="307"/>
      <c r="N167" s="307"/>
    </row>
    <row r="168" spans="2:14" s="44" customFormat="1" x14ac:dyDescent="0.25">
      <c r="B168" s="302"/>
      <c r="C168" s="316"/>
      <c r="D168" s="316"/>
      <c r="E168" s="35">
        <v>9</v>
      </c>
      <c r="F168" s="35">
        <v>0</v>
      </c>
      <c r="G168" s="35">
        <v>0</v>
      </c>
      <c r="H168" s="35" t="s">
        <v>131</v>
      </c>
      <c r="I168" s="35">
        <v>120</v>
      </c>
      <c r="J168" s="35">
        <v>15</v>
      </c>
      <c r="K168" s="307"/>
      <c r="L168" s="307"/>
      <c r="M168" s="307"/>
      <c r="N168" s="307"/>
    </row>
    <row r="169" spans="2:14" s="44" customFormat="1" x14ac:dyDescent="0.25">
      <c r="B169" s="303"/>
      <c r="C169" s="42">
        <v>4</v>
      </c>
      <c r="D169" s="42">
        <v>1</v>
      </c>
      <c r="E169" s="35">
        <v>10</v>
      </c>
      <c r="F169" s="35">
        <v>0</v>
      </c>
      <c r="G169" s="35">
        <v>0</v>
      </c>
      <c r="H169" s="35" t="s">
        <v>131</v>
      </c>
      <c r="I169" s="35">
        <v>150</v>
      </c>
      <c r="J169" s="35">
        <v>12</v>
      </c>
      <c r="K169" s="308"/>
      <c r="L169" s="308"/>
      <c r="M169" s="308"/>
      <c r="N169" s="308"/>
    </row>
    <row r="170" spans="2:14" s="44" customFormat="1" x14ac:dyDescent="0.25">
      <c r="B170" s="304" t="s">
        <v>1020</v>
      </c>
      <c r="C170" s="34">
        <v>1</v>
      </c>
      <c r="D170" s="34">
        <v>1</v>
      </c>
      <c r="E170" s="34">
        <v>0</v>
      </c>
      <c r="F170" s="34">
        <v>0</v>
      </c>
      <c r="G170" s="34">
        <v>0</v>
      </c>
      <c r="H170" s="34">
        <v>14</v>
      </c>
      <c r="I170" s="34">
        <v>0</v>
      </c>
      <c r="J170" s="34">
        <v>162</v>
      </c>
      <c r="K170" s="304" t="s">
        <v>1058</v>
      </c>
      <c r="L170" s="301" t="s">
        <v>980</v>
      </c>
      <c r="M170" s="301" t="s">
        <v>1059</v>
      </c>
      <c r="N170" s="301"/>
    </row>
    <row r="171" spans="2:14" s="44" customFormat="1" x14ac:dyDescent="0.25">
      <c r="B171" s="302"/>
      <c r="C171" s="35">
        <v>1</v>
      </c>
      <c r="D171" s="35">
        <v>1</v>
      </c>
      <c r="E171" s="35">
        <v>0</v>
      </c>
      <c r="F171" s="35">
        <v>0</v>
      </c>
      <c r="G171" s="35">
        <v>0</v>
      </c>
      <c r="H171" s="35" t="s">
        <v>131</v>
      </c>
      <c r="I171" s="35">
        <v>0</v>
      </c>
      <c r="J171" s="35">
        <v>52</v>
      </c>
      <c r="K171" s="302"/>
      <c r="L171" s="307"/>
      <c r="M171" s="307"/>
      <c r="N171" s="307"/>
    </row>
    <row r="172" spans="2:14" s="44" customFormat="1" x14ac:dyDescent="0.25">
      <c r="B172" s="302"/>
      <c r="C172" s="35">
        <v>2</v>
      </c>
      <c r="D172" s="35">
        <v>1</v>
      </c>
      <c r="E172" s="35">
        <v>0</v>
      </c>
      <c r="F172" s="35">
        <v>0</v>
      </c>
      <c r="G172" s="35">
        <v>0</v>
      </c>
      <c r="H172" s="35" t="s">
        <v>131</v>
      </c>
      <c r="I172" s="35">
        <v>52</v>
      </c>
      <c r="J172" s="35">
        <v>52</v>
      </c>
      <c r="K172" s="302"/>
      <c r="L172" s="307"/>
      <c r="M172" s="307"/>
      <c r="N172" s="307"/>
    </row>
    <row r="173" spans="2:14" s="44" customFormat="1" x14ac:dyDescent="0.25">
      <c r="B173" s="302"/>
      <c r="C173" s="43" t="s">
        <v>984</v>
      </c>
      <c r="D173" s="43" t="s">
        <v>984</v>
      </c>
      <c r="E173" s="43" t="s">
        <v>984</v>
      </c>
      <c r="F173" s="43" t="s">
        <v>984</v>
      </c>
      <c r="G173" s="43" t="s">
        <v>984</v>
      </c>
      <c r="H173" s="43" t="s">
        <v>984</v>
      </c>
      <c r="I173" s="43" t="s">
        <v>984</v>
      </c>
      <c r="J173" s="43" t="s">
        <v>984</v>
      </c>
      <c r="K173" s="302"/>
      <c r="L173" s="307"/>
      <c r="M173" s="307"/>
      <c r="N173" s="307"/>
    </row>
    <row r="174" spans="2:14" s="44" customFormat="1" x14ac:dyDescent="0.25">
      <c r="B174" s="302"/>
      <c r="C174" s="35">
        <v>4</v>
      </c>
      <c r="D174" s="35">
        <v>1</v>
      </c>
      <c r="E174" s="35">
        <v>0</v>
      </c>
      <c r="F174" s="35">
        <v>0</v>
      </c>
      <c r="G174" s="35">
        <v>0</v>
      </c>
      <c r="H174" s="35" t="s">
        <v>131</v>
      </c>
      <c r="I174" s="35">
        <v>156</v>
      </c>
      <c r="J174" s="35">
        <v>6</v>
      </c>
      <c r="K174" s="302"/>
      <c r="L174" s="307"/>
      <c r="M174" s="307"/>
      <c r="N174" s="307"/>
    </row>
    <row r="175" spans="2:14" s="44" customFormat="1" x14ac:dyDescent="0.25">
      <c r="B175" s="302"/>
      <c r="C175" s="43" t="s">
        <v>984</v>
      </c>
      <c r="D175" s="43" t="s">
        <v>984</v>
      </c>
      <c r="E175" s="43" t="s">
        <v>984</v>
      </c>
      <c r="F175" s="43" t="s">
        <v>984</v>
      </c>
      <c r="G175" s="43" t="s">
        <v>984</v>
      </c>
      <c r="H175" s="43" t="s">
        <v>984</v>
      </c>
      <c r="I175" s="43" t="s">
        <v>984</v>
      </c>
      <c r="J175" s="43" t="s">
        <v>984</v>
      </c>
      <c r="K175" s="302"/>
      <c r="L175" s="307"/>
      <c r="M175" s="307"/>
      <c r="N175" s="307"/>
    </row>
    <row r="176" spans="2:14" s="44" customFormat="1" x14ac:dyDescent="0.25">
      <c r="B176" s="302"/>
      <c r="C176" s="35">
        <v>53</v>
      </c>
      <c r="D176" s="35">
        <v>1</v>
      </c>
      <c r="E176" s="35">
        <v>0</v>
      </c>
      <c r="F176" s="35">
        <v>13</v>
      </c>
      <c r="G176" s="35">
        <v>0</v>
      </c>
      <c r="H176" s="35" t="s">
        <v>131</v>
      </c>
      <c r="I176" s="35">
        <v>0</v>
      </c>
      <c r="J176" s="35">
        <v>52</v>
      </c>
      <c r="K176" s="302"/>
      <c r="L176" s="307"/>
      <c r="M176" s="307"/>
      <c r="N176" s="307"/>
    </row>
    <row r="177" spans="2:14" s="44" customFormat="1" x14ac:dyDescent="0.25">
      <c r="B177" s="302"/>
      <c r="C177" s="35">
        <v>54</v>
      </c>
      <c r="D177" s="35">
        <v>1</v>
      </c>
      <c r="E177" s="35">
        <v>0</v>
      </c>
      <c r="F177" s="35">
        <v>13</v>
      </c>
      <c r="G177" s="35">
        <v>0</v>
      </c>
      <c r="H177" s="35" t="s">
        <v>131</v>
      </c>
      <c r="I177" s="35">
        <v>52</v>
      </c>
      <c r="J177" s="35">
        <v>52</v>
      </c>
      <c r="K177" s="302"/>
      <c r="L177" s="307"/>
      <c r="M177" s="307"/>
      <c r="N177" s="307"/>
    </row>
    <row r="178" spans="2:14" s="44" customFormat="1" x14ac:dyDescent="0.25">
      <c r="B178" s="302"/>
      <c r="C178" s="43" t="s">
        <v>984</v>
      </c>
      <c r="D178" s="43" t="s">
        <v>984</v>
      </c>
      <c r="E178" s="43" t="s">
        <v>984</v>
      </c>
      <c r="F178" s="43" t="s">
        <v>984</v>
      </c>
      <c r="G178" s="43" t="s">
        <v>984</v>
      </c>
      <c r="H178" s="43" t="s">
        <v>984</v>
      </c>
      <c r="I178" s="43" t="s">
        <v>984</v>
      </c>
      <c r="J178" s="43" t="s">
        <v>984</v>
      </c>
      <c r="K178" s="302"/>
      <c r="L178" s="307"/>
      <c r="M178" s="307"/>
      <c r="N178" s="307"/>
    </row>
    <row r="179" spans="2:14" s="44" customFormat="1" x14ac:dyDescent="0.25">
      <c r="B179" s="303"/>
      <c r="C179" s="35">
        <v>56</v>
      </c>
      <c r="D179" s="35">
        <v>1</v>
      </c>
      <c r="E179" s="35">
        <v>0</v>
      </c>
      <c r="F179" s="35">
        <v>13</v>
      </c>
      <c r="G179" s="35">
        <v>0</v>
      </c>
      <c r="H179" s="35" t="s">
        <v>131</v>
      </c>
      <c r="I179" s="35">
        <v>156</v>
      </c>
      <c r="J179" s="35">
        <v>6</v>
      </c>
      <c r="K179" s="303"/>
      <c r="L179" s="308"/>
      <c r="M179" s="308"/>
      <c r="N179" s="308"/>
    </row>
  </sheetData>
  <mergeCells count="156">
    <mergeCell ref="N160:N169"/>
    <mergeCell ref="M160:M169"/>
    <mergeCell ref="B3:B8"/>
    <mergeCell ref="K3:K8"/>
    <mergeCell ref="L3:L8"/>
    <mergeCell ref="D51:D53"/>
    <mergeCell ref="C54:C56"/>
    <mergeCell ref="D54:D56"/>
    <mergeCell ref="K28:K37"/>
    <mergeCell ref="L28:L37"/>
    <mergeCell ref="C32:C34"/>
    <mergeCell ref="D32:D34"/>
    <mergeCell ref="C35:C37"/>
    <mergeCell ref="D35:D37"/>
    <mergeCell ref="C25:C27"/>
    <mergeCell ref="D25:D27"/>
    <mergeCell ref="M140:M149"/>
    <mergeCell ref="M150:M159"/>
    <mergeCell ref="N84:N93"/>
    <mergeCell ref="N94:N106"/>
    <mergeCell ref="N107:N116"/>
    <mergeCell ref="N117:N126"/>
    <mergeCell ref="N140:N149"/>
    <mergeCell ref="N150:N159"/>
    <mergeCell ref="B38:B46"/>
    <mergeCell ref="C38:C41"/>
    <mergeCell ref="D38:D41"/>
    <mergeCell ref="K38:K46"/>
    <mergeCell ref="L47:L56"/>
    <mergeCell ref="C51:C53"/>
    <mergeCell ref="N170:N179"/>
    <mergeCell ref="M3:M8"/>
    <mergeCell ref="M38:M46"/>
    <mergeCell ref="M18:M27"/>
    <mergeCell ref="M28:M37"/>
    <mergeCell ref="M47:M56"/>
    <mergeCell ref="M57:M66"/>
    <mergeCell ref="M67:M76"/>
    <mergeCell ref="M77:M82"/>
    <mergeCell ref="N3:N8"/>
    <mergeCell ref="N9:N17"/>
    <mergeCell ref="N38:N46"/>
    <mergeCell ref="N18:N27"/>
    <mergeCell ref="N28:N37"/>
    <mergeCell ref="N47:N56"/>
    <mergeCell ref="N57:N66"/>
    <mergeCell ref="N67:N76"/>
    <mergeCell ref="M170:M179"/>
    <mergeCell ref="B94:B106"/>
    <mergeCell ref="K94:K106"/>
    <mergeCell ref="L94:L106"/>
    <mergeCell ref="K84:K93"/>
    <mergeCell ref="L84:L93"/>
    <mergeCell ref="C64:C66"/>
    <mergeCell ref="D64:D66"/>
    <mergeCell ref="B67:B76"/>
    <mergeCell ref="C67:C70"/>
    <mergeCell ref="D67:D70"/>
    <mergeCell ref="C47:C50"/>
    <mergeCell ref="D47:D50"/>
    <mergeCell ref="K47:K56"/>
    <mergeCell ref="B77:B82"/>
    <mergeCell ref="K77:K82"/>
    <mergeCell ref="L77:L82"/>
    <mergeCell ref="B84:B93"/>
    <mergeCell ref="N77:N82"/>
    <mergeCell ref="B57:B66"/>
    <mergeCell ref="C57:C60"/>
    <mergeCell ref="D57:D60"/>
    <mergeCell ref="K57:K66"/>
    <mergeCell ref="L57:L66"/>
    <mergeCell ref="C61:C63"/>
    <mergeCell ref="D61:D63"/>
    <mergeCell ref="L117:L126"/>
    <mergeCell ref="C124:C125"/>
    <mergeCell ref="B107:B116"/>
    <mergeCell ref="C107:C110"/>
    <mergeCell ref="D107:D110"/>
    <mergeCell ref="K107:K116"/>
    <mergeCell ref="L107:L116"/>
    <mergeCell ref="M9:M17"/>
    <mergeCell ref="M84:M93"/>
    <mergeCell ref="B83:N83"/>
    <mergeCell ref="L38:L46"/>
    <mergeCell ref="B18:B27"/>
    <mergeCell ref="C18:C21"/>
    <mergeCell ref="D18:D21"/>
    <mergeCell ref="K18:K27"/>
    <mergeCell ref="L18:L27"/>
    <mergeCell ref="B9:B17"/>
    <mergeCell ref="K9:K17"/>
    <mergeCell ref="L9:L17"/>
    <mergeCell ref="B28:B37"/>
    <mergeCell ref="C28:C31"/>
    <mergeCell ref="D28:D31"/>
    <mergeCell ref="C22:C24"/>
    <mergeCell ref="B47:B56"/>
    <mergeCell ref="B170:B179"/>
    <mergeCell ref="K170:K179"/>
    <mergeCell ref="L170:L179"/>
    <mergeCell ref="C111:C112"/>
    <mergeCell ref="D111:D112"/>
    <mergeCell ref="C114:C115"/>
    <mergeCell ref="D114:D115"/>
    <mergeCell ref="C121:C122"/>
    <mergeCell ref="D121:D122"/>
    <mergeCell ref="B160:B169"/>
    <mergeCell ref="C160:C163"/>
    <mergeCell ref="D160:D163"/>
    <mergeCell ref="K160:K169"/>
    <mergeCell ref="L160:L169"/>
    <mergeCell ref="B150:B159"/>
    <mergeCell ref="C150:C153"/>
    <mergeCell ref="D150:D153"/>
    <mergeCell ref="K150:K159"/>
    <mergeCell ref="L150:L159"/>
    <mergeCell ref="C157:C158"/>
    <mergeCell ref="B140:B149"/>
    <mergeCell ref="C140:C143"/>
    <mergeCell ref="D140:D143"/>
    <mergeCell ref="K140:K149"/>
    <mergeCell ref="C164:C165"/>
    <mergeCell ref="D164:D165"/>
    <mergeCell ref="C167:C168"/>
    <mergeCell ref="D167:D168"/>
    <mergeCell ref="D124:D125"/>
    <mergeCell ref="C144:C145"/>
    <mergeCell ref="D144:D145"/>
    <mergeCell ref="C147:C148"/>
    <mergeCell ref="D147:D148"/>
    <mergeCell ref="C154:C155"/>
    <mergeCell ref="D154:D155"/>
    <mergeCell ref="B127:B139"/>
    <mergeCell ref="C127:C130"/>
    <mergeCell ref="D127:D130"/>
    <mergeCell ref="K127:K139"/>
    <mergeCell ref="L127:L139"/>
    <mergeCell ref="M127:M139"/>
    <mergeCell ref="N127:N139"/>
    <mergeCell ref="C2:N2"/>
    <mergeCell ref="D157:D158"/>
    <mergeCell ref="L140:L149"/>
    <mergeCell ref="L67:L76"/>
    <mergeCell ref="C71:C73"/>
    <mergeCell ref="D71:D73"/>
    <mergeCell ref="C74:C76"/>
    <mergeCell ref="D74:D76"/>
    <mergeCell ref="D22:D24"/>
    <mergeCell ref="M94:M106"/>
    <mergeCell ref="M107:M116"/>
    <mergeCell ref="M117:M126"/>
    <mergeCell ref="K67:K76"/>
    <mergeCell ref="B117:B126"/>
    <mergeCell ref="C117:C120"/>
    <mergeCell ref="D117:D120"/>
    <mergeCell ref="K117:K126"/>
  </mergeCells>
  <hyperlinks>
    <hyperlink ref="L1" location="'CU Plane Coupling - Use_cases'!A1" display="Use cases " xr:uid="{EC2FD31C-F375-440C-A72E-FFF180DC9331}"/>
    <hyperlink ref="P10" location="'CU Plane Coupling - Use_cases'!A1" display="Refer Usecase Sheet" xr:uid="{2E369A09-6ED4-4835-A51F-04B8908758A3}"/>
  </hyperlink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8B07D-0166-469A-9D76-2824AA9AA9E3}">
  <dimension ref="A2:E52"/>
  <sheetViews>
    <sheetView topLeftCell="A4" zoomScale="70" zoomScaleNormal="70" workbookViewId="0"/>
  </sheetViews>
  <sheetFormatPr defaultRowHeight="15" x14ac:dyDescent="0.25"/>
  <cols>
    <col min="1" max="1" width="17.140625" customWidth="1"/>
    <col min="2" max="2" width="12.42578125" bestFit="1" customWidth="1"/>
    <col min="3" max="4" width="16" bestFit="1" customWidth="1"/>
    <col min="5" max="5" width="36" customWidth="1"/>
  </cols>
  <sheetData>
    <row r="2" spans="1:5" ht="15.75" thickBot="1" x14ac:dyDescent="0.3"/>
    <row r="3" spans="1:5" ht="21" x14ac:dyDescent="0.25">
      <c r="A3" s="421" t="s">
        <v>1092</v>
      </c>
      <c r="B3" s="422"/>
      <c r="C3" s="54" t="s">
        <v>1093</v>
      </c>
      <c r="D3" s="54" t="s">
        <v>1094</v>
      </c>
      <c r="E3" s="54" t="s">
        <v>1095</v>
      </c>
    </row>
    <row r="4" spans="1:5" ht="243" customHeight="1" x14ac:dyDescent="0.25">
      <c r="A4" s="423" t="s">
        <v>1096</v>
      </c>
      <c r="B4" s="419"/>
      <c r="C4" s="427" t="s">
        <v>1097</v>
      </c>
      <c r="D4" s="427" t="s">
        <v>1098</v>
      </c>
      <c r="E4" s="87" t="s">
        <v>1099</v>
      </c>
    </row>
    <row r="5" spans="1:5" ht="73.5" customHeight="1" x14ac:dyDescent="0.25">
      <c r="A5" s="424"/>
      <c r="B5" s="426"/>
      <c r="C5" s="428"/>
      <c r="D5" s="428"/>
      <c r="E5" s="88" t="s">
        <v>1100</v>
      </c>
    </row>
    <row r="6" spans="1:5" ht="56.45" customHeight="1" x14ac:dyDescent="0.25">
      <c r="A6" s="424"/>
      <c r="B6" s="426"/>
      <c r="C6" s="428"/>
      <c r="D6" s="428"/>
      <c r="E6" s="88" t="s">
        <v>1101</v>
      </c>
    </row>
    <row r="7" spans="1:5" ht="36.6" customHeight="1" x14ac:dyDescent="0.25">
      <c r="A7" s="425"/>
      <c r="B7" s="420"/>
      <c r="C7" s="429"/>
      <c r="D7" s="429"/>
      <c r="E7" s="89"/>
    </row>
    <row r="8" spans="1:5" ht="36" customHeight="1" x14ac:dyDescent="0.25">
      <c r="A8" s="55" t="s">
        <v>1102</v>
      </c>
      <c r="B8" s="419" t="s">
        <v>1103</v>
      </c>
      <c r="C8" s="419" t="s">
        <v>1104</v>
      </c>
      <c r="D8" s="419" t="s">
        <v>1104</v>
      </c>
      <c r="E8" s="419" t="s">
        <v>1104</v>
      </c>
    </row>
    <row r="9" spans="1:5" ht="15" customHeight="1" x14ac:dyDescent="0.25">
      <c r="A9" s="56" t="s">
        <v>1105</v>
      </c>
      <c r="B9" s="420"/>
      <c r="C9" s="420"/>
      <c r="D9" s="420"/>
      <c r="E9" s="420"/>
    </row>
    <row r="10" spans="1:5" ht="36" customHeight="1" x14ac:dyDescent="0.25">
      <c r="A10" s="402" t="s">
        <v>1106</v>
      </c>
      <c r="B10" s="405" t="s">
        <v>1107</v>
      </c>
      <c r="C10" s="57" t="s">
        <v>1108</v>
      </c>
      <c r="D10" s="57" t="s">
        <v>1108</v>
      </c>
      <c r="E10" s="57" t="s">
        <v>1108</v>
      </c>
    </row>
    <row r="11" spans="1:5" ht="15" customHeight="1" x14ac:dyDescent="0.25">
      <c r="A11" s="403"/>
      <c r="B11" s="406"/>
      <c r="C11" s="58" t="s">
        <v>1109</v>
      </c>
      <c r="D11" s="58" t="s">
        <v>1109</v>
      </c>
      <c r="E11" s="58" t="s">
        <v>1110</v>
      </c>
    </row>
    <row r="12" spans="1:5" ht="15" customHeight="1" x14ac:dyDescent="0.25">
      <c r="A12" s="403"/>
      <c r="B12" s="406"/>
      <c r="C12" s="58" t="s">
        <v>1111</v>
      </c>
      <c r="D12" s="58" t="s">
        <v>1112</v>
      </c>
      <c r="E12" s="58" t="s">
        <v>1113</v>
      </c>
    </row>
    <row r="13" spans="1:5" ht="15" customHeight="1" x14ac:dyDescent="0.25">
      <c r="A13" s="403"/>
      <c r="B13" s="406"/>
      <c r="C13" s="58" t="s">
        <v>1114</v>
      </c>
      <c r="D13" s="58" t="s">
        <v>1114</v>
      </c>
      <c r="E13" s="58" t="s">
        <v>1115</v>
      </c>
    </row>
    <row r="14" spans="1:5" ht="15" customHeight="1" x14ac:dyDescent="0.25">
      <c r="A14" s="403"/>
      <c r="B14" s="407"/>
      <c r="C14" s="59" t="s">
        <v>1116</v>
      </c>
      <c r="D14" s="59" t="s">
        <v>1117</v>
      </c>
      <c r="E14" s="59" t="s">
        <v>1118</v>
      </c>
    </row>
    <row r="15" spans="1:5" ht="15" customHeight="1" x14ac:dyDescent="0.25">
      <c r="A15" s="403"/>
      <c r="B15" s="405" t="s">
        <v>1119</v>
      </c>
      <c r="C15" s="408" t="s">
        <v>1120</v>
      </c>
      <c r="D15" s="408" t="s">
        <v>1120</v>
      </c>
      <c r="E15" s="57" t="s">
        <v>1121</v>
      </c>
    </row>
    <row r="16" spans="1:5" ht="36" customHeight="1" x14ac:dyDescent="0.25">
      <c r="A16" s="403"/>
      <c r="B16" s="406"/>
      <c r="C16" s="409"/>
      <c r="D16" s="409"/>
      <c r="E16" s="58" t="s">
        <v>1122</v>
      </c>
    </row>
    <row r="17" spans="1:5" ht="36" customHeight="1" x14ac:dyDescent="0.25">
      <c r="A17" s="403"/>
      <c r="B17" s="406"/>
      <c r="C17" s="409"/>
      <c r="D17" s="409"/>
      <c r="E17" s="58" t="s">
        <v>1123</v>
      </c>
    </row>
    <row r="18" spans="1:5" ht="36" customHeight="1" x14ac:dyDescent="0.25">
      <c r="A18" s="403"/>
      <c r="B18" s="406"/>
      <c r="C18" s="409"/>
      <c r="D18" s="409"/>
      <c r="E18" s="58" t="s">
        <v>1115</v>
      </c>
    </row>
    <row r="19" spans="1:5" ht="36" customHeight="1" x14ac:dyDescent="0.25">
      <c r="A19" s="403"/>
      <c r="B19" s="407"/>
      <c r="C19" s="410"/>
      <c r="D19" s="410"/>
      <c r="E19" s="59" t="s">
        <v>1118</v>
      </c>
    </row>
    <row r="20" spans="1:5" ht="36" customHeight="1" x14ac:dyDescent="0.25">
      <c r="A20" s="403"/>
      <c r="B20" s="405" t="s">
        <v>1124</v>
      </c>
      <c r="C20" s="408" t="s">
        <v>1120</v>
      </c>
      <c r="D20" s="408" t="s">
        <v>1120</v>
      </c>
      <c r="E20" s="57" t="s">
        <v>1125</v>
      </c>
    </row>
    <row r="21" spans="1:5" ht="36" customHeight="1" x14ac:dyDescent="0.25">
      <c r="A21" s="403"/>
      <c r="B21" s="406"/>
      <c r="C21" s="409"/>
      <c r="D21" s="409"/>
      <c r="E21" s="58" t="s">
        <v>1126</v>
      </c>
    </row>
    <row r="22" spans="1:5" ht="18.75" x14ac:dyDescent="0.25">
      <c r="A22" s="403"/>
      <c r="B22" s="406"/>
      <c r="C22" s="409"/>
      <c r="D22" s="409"/>
      <c r="E22" s="58" t="s">
        <v>1111</v>
      </c>
    </row>
    <row r="23" spans="1:5" ht="18.75" x14ac:dyDescent="0.25">
      <c r="A23" s="403"/>
      <c r="B23" s="406"/>
      <c r="C23" s="409"/>
      <c r="D23" s="409"/>
      <c r="E23" s="58" t="s">
        <v>1115</v>
      </c>
    </row>
    <row r="24" spans="1:5" ht="18.75" x14ac:dyDescent="0.25">
      <c r="A24" s="403"/>
      <c r="B24" s="407"/>
      <c r="C24" s="410"/>
      <c r="D24" s="410"/>
      <c r="E24" s="59" t="s">
        <v>1118</v>
      </c>
    </row>
    <row r="25" spans="1:5" ht="36" customHeight="1" x14ac:dyDescent="0.25">
      <c r="A25" s="403"/>
      <c r="B25" s="405" t="s">
        <v>1127</v>
      </c>
      <c r="C25" s="408" t="s">
        <v>1120</v>
      </c>
      <c r="D25" s="408" t="s">
        <v>1120</v>
      </c>
      <c r="E25" s="57" t="s">
        <v>1128</v>
      </c>
    </row>
    <row r="26" spans="1:5" ht="36" customHeight="1" x14ac:dyDescent="0.25">
      <c r="A26" s="403"/>
      <c r="B26" s="406"/>
      <c r="C26" s="409"/>
      <c r="D26" s="409"/>
      <c r="E26" s="58" t="s">
        <v>1129</v>
      </c>
    </row>
    <row r="27" spans="1:5" ht="18.75" x14ac:dyDescent="0.25">
      <c r="A27" s="403"/>
      <c r="B27" s="406"/>
      <c r="C27" s="409"/>
      <c r="D27" s="409"/>
      <c r="E27" s="58" t="s">
        <v>1113</v>
      </c>
    </row>
    <row r="28" spans="1:5" ht="36" customHeight="1" x14ac:dyDescent="0.25">
      <c r="A28" s="403"/>
      <c r="B28" s="406"/>
      <c r="C28" s="409"/>
      <c r="D28" s="409"/>
      <c r="E28" s="58" t="s">
        <v>1115</v>
      </c>
    </row>
    <row r="29" spans="1:5" ht="36" customHeight="1" x14ac:dyDescent="0.25">
      <c r="A29" s="403"/>
      <c r="B29" s="407"/>
      <c r="C29" s="410"/>
      <c r="D29" s="410"/>
      <c r="E29" s="59" t="s">
        <v>1118</v>
      </c>
    </row>
    <row r="30" spans="1:5" ht="15" customHeight="1" x14ac:dyDescent="0.25">
      <c r="A30" s="403"/>
      <c r="B30" s="60" t="s">
        <v>1130</v>
      </c>
      <c r="C30" s="61"/>
      <c r="D30" s="61"/>
      <c r="E30" s="61"/>
    </row>
    <row r="31" spans="1:5" ht="36" customHeight="1" x14ac:dyDescent="0.25">
      <c r="A31" s="403"/>
      <c r="B31" s="405" t="s">
        <v>1131</v>
      </c>
      <c r="C31" s="408" t="s">
        <v>1120</v>
      </c>
      <c r="D31" s="408" t="s">
        <v>1120</v>
      </c>
      <c r="E31" s="57" t="s">
        <v>1132</v>
      </c>
    </row>
    <row r="32" spans="1:5" ht="18.75" x14ac:dyDescent="0.25">
      <c r="A32" s="403"/>
      <c r="B32" s="406"/>
      <c r="C32" s="409"/>
      <c r="D32" s="409"/>
      <c r="E32" s="58" t="s">
        <v>1109</v>
      </c>
    </row>
    <row r="33" spans="1:5" ht="36" customHeight="1" x14ac:dyDescent="0.25">
      <c r="A33" s="403"/>
      <c r="B33" s="406"/>
      <c r="C33" s="409"/>
      <c r="D33" s="409"/>
      <c r="E33" s="58" t="s">
        <v>1113</v>
      </c>
    </row>
    <row r="34" spans="1:5" ht="36" customHeight="1" x14ac:dyDescent="0.25">
      <c r="A34" s="403"/>
      <c r="B34" s="406"/>
      <c r="C34" s="409"/>
      <c r="D34" s="409"/>
      <c r="E34" s="58" t="s">
        <v>1115</v>
      </c>
    </row>
    <row r="35" spans="1:5" ht="18.75" x14ac:dyDescent="0.25">
      <c r="A35" s="404"/>
      <c r="B35" s="407"/>
      <c r="C35" s="410"/>
      <c r="D35" s="410"/>
      <c r="E35" s="59" t="s">
        <v>1118</v>
      </c>
    </row>
    <row r="36" spans="1:5" x14ac:dyDescent="0.25">
      <c r="A36" s="413" t="s">
        <v>1133</v>
      </c>
      <c r="B36" s="416"/>
      <c r="C36" s="408"/>
      <c r="D36" s="408"/>
      <c r="E36" s="408"/>
    </row>
    <row r="37" spans="1:5" x14ac:dyDescent="0.25">
      <c r="A37" s="414"/>
      <c r="B37" s="417"/>
      <c r="C37" s="409"/>
      <c r="D37" s="409"/>
      <c r="E37" s="409"/>
    </row>
    <row r="38" spans="1:5" x14ac:dyDescent="0.25">
      <c r="A38" s="414"/>
      <c r="B38" s="417"/>
      <c r="C38" s="409"/>
      <c r="D38" s="409"/>
      <c r="E38" s="409"/>
    </row>
    <row r="39" spans="1:5" ht="15" customHeight="1" x14ac:dyDescent="0.25">
      <c r="A39" s="414"/>
      <c r="B39" s="417"/>
      <c r="C39" s="409"/>
      <c r="D39" s="409"/>
      <c r="E39" s="409"/>
    </row>
    <row r="40" spans="1:5" x14ac:dyDescent="0.25">
      <c r="A40" s="415"/>
      <c r="B40" s="418"/>
      <c r="C40" s="410"/>
      <c r="D40" s="410"/>
      <c r="E40" s="410"/>
    </row>
    <row r="41" spans="1:5" ht="18.75" x14ac:dyDescent="0.25">
      <c r="A41" s="402" t="s">
        <v>1134</v>
      </c>
      <c r="B41" s="405" t="s">
        <v>1107</v>
      </c>
      <c r="C41" s="408" t="s">
        <v>1120</v>
      </c>
      <c r="D41" s="57" t="s">
        <v>1108</v>
      </c>
      <c r="E41" s="408" t="s">
        <v>1120</v>
      </c>
    </row>
    <row r="42" spans="1:5" ht="15" customHeight="1" x14ac:dyDescent="0.25">
      <c r="A42" s="403"/>
      <c r="B42" s="406"/>
      <c r="C42" s="409"/>
      <c r="D42" s="58" t="s">
        <v>1109</v>
      </c>
      <c r="E42" s="409"/>
    </row>
    <row r="43" spans="1:5" ht="15" customHeight="1" x14ac:dyDescent="0.25">
      <c r="A43" s="403"/>
      <c r="B43" s="406"/>
      <c r="C43" s="409"/>
      <c r="D43" s="58" t="s">
        <v>1135</v>
      </c>
      <c r="E43" s="409"/>
    </row>
    <row r="44" spans="1:5" ht="15" customHeight="1" x14ac:dyDescent="0.25">
      <c r="A44" s="403"/>
      <c r="B44" s="406"/>
      <c r="C44" s="409"/>
      <c r="D44" s="58" t="s">
        <v>1114</v>
      </c>
      <c r="E44" s="409"/>
    </row>
    <row r="45" spans="1:5" ht="15" customHeight="1" x14ac:dyDescent="0.25">
      <c r="A45" s="403"/>
      <c r="B45" s="407"/>
      <c r="C45" s="410"/>
      <c r="D45" s="59" t="s">
        <v>1117</v>
      </c>
      <c r="E45" s="410"/>
    </row>
    <row r="46" spans="1:5" ht="18.75" x14ac:dyDescent="0.25">
      <c r="A46" s="403"/>
      <c r="B46" s="60" t="s">
        <v>1119</v>
      </c>
      <c r="C46" s="61" t="s">
        <v>1120</v>
      </c>
      <c r="D46" s="61" t="s">
        <v>1120</v>
      </c>
      <c r="E46" s="61" t="s">
        <v>1120</v>
      </c>
    </row>
    <row r="47" spans="1:5" ht="18.75" x14ac:dyDescent="0.25">
      <c r="A47" s="403"/>
      <c r="B47" s="60" t="s">
        <v>1124</v>
      </c>
      <c r="C47" s="61" t="s">
        <v>1120</v>
      </c>
      <c r="D47" s="61" t="s">
        <v>1120</v>
      </c>
      <c r="E47" s="61" t="s">
        <v>1120</v>
      </c>
    </row>
    <row r="48" spans="1:5" ht="15" customHeight="1" x14ac:dyDescent="0.25">
      <c r="A48" s="403"/>
      <c r="B48" s="60" t="s">
        <v>1136</v>
      </c>
      <c r="C48" s="61" t="s">
        <v>1120</v>
      </c>
      <c r="D48" s="61" t="s">
        <v>1120</v>
      </c>
      <c r="E48" s="61" t="s">
        <v>1120</v>
      </c>
    </row>
    <row r="49" spans="1:5" ht="18.75" x14ac:dyDescent="0.25">
      <c r="A49" s="403"/>
      <c r="B49" s="60" t="s">
        <v>1137</v>
      </c>
      <c r="C49" s="61"/>
      <c r="D49" s="61"/>
      <c r="E49" s="61"/>
    </row>
    <row r="50" spans="1:5" x14ac:dyDescent="0.25">
      <c r="A50" s="403"/>
      <c r="B50" s="405" t="s">
        <v>1131</v>
      </c>
      <c r="C50" s="408" t="s">
        <v>1120</v>
      </c>
      <c r="D50" s="408" t="s">
        <v>1120</v>
      </c>
      <c r="E50" s="408" t="s">
        <v>1120</v>
      </c>
    </row>
    <row r="51" spans="1:5" x14ac:dyDescent="0.25">
      <c r="A51" s="403"/>
      <c r="B51" s="406"/>
      <c r="C51" s="409"/>
      <c r="D51" s="409"/>
      <c r="E51" s="409"/>
    </row>
    <row r="52" spans="1:5" ht="15.75" thickBot="1" x14ac:dyDescent="0.3">
      <c r="A52" s="404"/>
      <c r="B52" s="411"/>
      <c r="C52" s="412"/>
      <c r="D52" s="412"/>
      <c r="E52" s="412"/>
    </row>
  </sheetData>
  <mergeCells count="36">
    <mergeCell ref="C25:C29"/>
    <mergeCell ref="D25:D29"/>
    <mergeCell ref="A3:B3"/>
    <mergeCell ref="A4:A7"/>
    <mergeCell ref="B4:B7"/>
    <mergeCell ref="C4:C7"/>
    <mergeCell ref="D4:D7"/>
    <mergeCell ref="E8:E9"/>
    <mergeCell ref="B8:B9"/>
    <mergeCell ref="C8:C9"/>
    <mergeCell ref="D8:D9"/>
    <mergeCell ref="A10:A35"/>
    <mergeCell ref="B10:B14"/>
    <mergeCell ref="B15:B19"/>
    <mergeCell ref="C15:C19"/>
    <mergeCell ref="D15:D19"/>
    <mergeCell ref="B20:B24"/>
    <mergeCell ref="B31:B35"/>
    <mergeCell ref="C31:C35"/>
    <mergeCell ref="D31:D35"/>
    <mergeCell ref="C20:C24"/>
    <mergeCell ref="D20:D24"/>
    <mergeCell ref="B25:B29"/>
    <mergeCell ref="A36:A40"/>
    <mergeCell ref="B36:B40"/>
    <mergeCell ref="C36:C40"/>
    <mergeCell ref="D36:D40"/>
    <mergeCell ref="E36:E40"/>
    <mergeCell ref="A41:A52"/>
    <mergeCell ref="B41:B45"/>
    <mergeCell ref="C41:C45"/>
    <mergeCell ref="E41:E45"/>
    <mergeCell ref="B50:B52"/>
    <mergeCell ref="C50:C52"/>
    <mergeCell ref="D50:D52"/>
    <mergeCell ref="E50:E5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7FD0A-627C-4390-AEF6-4CC7D4097245}">
  <dimension ref="A4:Z65"/>
  <sheetViews>
    <sheetView zoomScale="80" zoomScaleNormal="80" workbookViewId="0">
      <selection activeCell="K9" sqref="K9"/>
    </sheetView>
  </sheetViews>
  <sheetFormatPr defaultRowHeight="15" x14ac:dyDescent="0.25"/>
  <cols>
    <col min="3" max="3" width="37.7109375" customWidth="1"/>
    <col min="4" max="4" width="14.85546875" customWidth="1"/>
    <col min="5" max="5" width="18.42578125" customWidth="1"/>
    <col min="6" max="9" width="10.5703125" customWidth="1"/>
    <col min="10" max="10" width="18.85546875" customWidth="1"/>
    <col min="11" max="11" width="18" bestFit="1" customWidth="1"/>
    <col min="12" max="12" width="10.7109375" customWidth="1"/>
    <col min="13" max="13" width="10.42578125" bestFit="1" customWidth="1"/>
    <col min="14" max="14" width="16.5703125" bestFit="1" customWidth="1"/>
    <col min="15" max="15" width="61" customWidth="1"/>
    <col min="16" max="16" width="30.7109375" customWidth="1"/>
    <col min="17" max="17" width="39.42578125" customWidth="1"/>
    <col min="18" max="18" width="24.140625" customWidth="1"/>
    <col min="19" max="19" width="24.28515625" customWidth="1"/>
    <col min="24" max="24" width="20.7109375" customWidth="1"/>
    <col min="25" max="25" width="23.140625" customWidth="1"/>
    <col min="26" max="26" width="28.140625" customWidth="1"/>
  </cols>
  <sheetData>
    <row r="4" spans="1:26" ht="30" x14ac:dyDescent="0.25">
      <c r="D4" s="240" t="s">
        <v>652</v>
      </c>
      <c r="E4" s="240" t="s">
        <v>653</v>
      </c>
      <c r="F4" s="240" t="s">
        <v>654</v>
      </c>
      <c r="G4" s="240" t="s">
        <v>655</v>
      </c>
      <c r="H4" s="240" t="s">
        <v>656</v>
      </c>
      <c r="I4" s="240" t="s">
        <v>657</v>
      </c>
      <c r="J4" s="240" t="s">
        <v>658</v>
      </c>
      <c r="K4" s="240" t="s">
        <v>659</v>
      </c>
      <c r="L4" s="240" t="s">
        <v>660</v>
      </c>
      <c r="M4" s="240" t="s">
        <v>661</v>
      </c>
      <c r="N4" s="240" t="s">
        <v>662</v>
      </c>
      <c r="O4" s="240" t="s">
        <v>663</v>
      </c>
      <c r="P4" s="240" t="s">
        <v>664</v>
      </c>
    </row>
    <row r="5" spans="1:26" ht="60" x14ac:dyDescent="0.25">
      <c r="D5" s="28" t="s">
        <v>1138</v>
      </c>
      <c r="E5" s="28" t="s">
        <v>666</v>
      </c>
      <c r="F5" s="28">
        <v>100</v>
      </c>
      <c r="G5" s="28">
        <v>100</v>
      </c>
      <c r="H5" s="28">
        <v>9000</v>
      </c>
      <c r="I5" s="28">
        <v>12</v>
      </c>
      <c r="J5" s="160" t="s">
        <v>667</v>
      </c>
      <c r="K5" s="28" t="s">
        <v>668</v>
      </c>
      <c r="L5" s="28" t="s">
        <v>669</v>
      </c>
      <c r="M5" s="28" t="s">
        <v>670</v>
      </c>
      <c r="N5" s="28" t="s">
        <v>671</v>
      </c>
      <c r="O5" s="28" t="s">
        <v>743</v>
      </c>
      <c r="P5" s="95" t="s">
        <v>672</v>
      </c>
    </row>
    <row r="6" spans="1:26" ht="72" customHeight="1" x14ac:dyDescent="0.25">
      <c r="D6" s="28" t="s">
        <v>1139</v>
      </c>
      <c r="E6" s="28" t="s">
        <v>666</v>
      </c>
      <c r="F6" s="28">
        <v>60</v>
      </c>
      <c r="G6" s="28">
        <v>60</v>
      </c>
      <c r="H6" s="28">
        <v>9000</v>
      </c>
      <c r="I6" s="28">
        <v>10</v>
      </c>
      <c r="J6" s="160" t="s">
        <v>745</v>
      </c>
      <c r="K6" s="28" t="s">
        <v>668</v>
      </c>
      <c r="L6" s="28" t="s">
        <v>669</v>
      </c>
      <c r="M6" s="28" t="s">
        <v>670</v>
      </c>
      <c r="N6" s="28" t="s">
        <v>671</v>
      </c>
      <c r="O6" s="28" t="s">
        <v>743</v>
      </c>
      <c r="P6" s="95" t="s">
        <v>672</v>
      </c>
      <c r="Q6" s="381"/>
      <c r="R6" s="381"/>
      <c r="S6" s="381"/>
      <c r="X6" s="305" t="s">
        <v>826</v>
      </c>
      <c r="Y6" s="305"/>
      <c r="Z6" s="305"/>
    </row>
    <row r="7" spans="1:26" ht="60" x14ac:dyDescent="0.25">
      <c r="D7" s="28" t="s">
        <v>1140</v>
      </c>
      <c r="E7" s="28" t="s">
        <v>666</v>
      </c>
      <c r="F7" s="28">
        <v>100</v>
      </c>
      <c r="G7" s="28">
        <v>60</v>
      </c>
      <c r="H7" s="28">
        <v>9000</v>
      </c>
      <c r="I7" s="28">
        <v>15</v>
      </c>
      <c r="J7" s="160" t="s">
        <v>769</v>
      </c>
      <c r="K7" s="28" t="s">
        <v>696</v>
      </c>
      <c r="L7" s="28" t="s">
        <v>669</v>
      </c>
      <c r="M7" s="28" t="s">
        <v>670</v>
      </c>
      <c r="N7" s="28" t="s">
        <v>671</v>
      </c>
      <c r="O7" s="28" t="s">
        <v>743</v>
      </c>
      <c r="P7" s="95" t="s">
        <v>705</v>
      </c>
    </row>
    <row r="8" spans="1:26" ht="60" customHeight="1" x14ac:dyDescent="0.25">
      <c r="D8" s="28" t="s">
        <v>1141</v>
      </c>
      <c r="E8" s="28" t="s">
        <v>771</v>
      </c>
      <c r="F8" s="28">
        <v>60</v>
      </c>
      <c r="G8" s="28">
        <v>100</v>
      </c>
      <c r="H8" s="28">
        <v>1500</v>
      </c>
      <c r="I8" s="28">
        <v>0</v>
      </c>
      <c r="J8" s="160" t="s">
        <v>772</v>
      </c>
      <c r="K8" s="28" t="s">
        <v>696</v>
      </c>
      <c r="L8" s="28" t="s">
        <v>669</v>
      </c>
      <c r="M8" s="28" t="s">
        <v>670</v>
      </c>
      <c r="N8" s="28" t="s">
        <v>671</v>
      </c>
      <c r="O8" s="28" t="s">
        <v>743</v>
      </c>
      <c r="P8" s="95">
        <v>9</v>
      </c>
      <c r="Q8" s="431"/>
      <c r="R8" s="431"/>
      <c r="S8" s="431"/>
      <c r="X8" s="432" t="s">
        <v>677</v>
      </c>
      <c r="Y8" s="433"/>
      <c r="Z8" s="434"/>
    </row>
    <row r="9" spans="1:26" ht="60" customHeight="1" x14ac:dyDescent="0.25">
      <c r="D9" s="28" t="s">
        <v>1142</v>
      </c>
      <c r="E9" s="28" t="s">
        <v>666</v>
      </c>
      <c r="F9" s="28">
        <v>100</v>
      </c>
      <c r="G9" s="28">
        <v>100</v>
      </c>
      <c r="H9" s="28">
        <v>1500</v>
      </c>
      <c r="I9" s="28">
        <v>13</v>
      </c>
      <c r="J9" s="160" t="s">
        <v>774</v>
      </c>
      <c r="K9" s="28" t="s">
        <v>696</v>
      </c>
      <c r="L9" s="28" t="s">
        <v>669</v>
      </c>
      <c r="M9" s="28" t="s">
        <v>670</v>
      </c>
      <c r="N9" s="28" t="s">
        <v>671</v>
      </c>
      <c r="O9" s="28" t="s">
        <v>743</v>
      </c>
      <c r="P9" s="95" t="s">
        <v>714</v>
      </c>
      <c r="X9" s="1"/>
      <c r="Y9" s="1" t="s">
        <v>680</v>
      </c>
      <c r="Z9" s="1" t="s">
        <v>681</v>
      </c>
    </row>
    <row r="10" spans="1:26" ht="60" customHeight="1" x14ac:dyDescent="0.25">
      <c r="D10" s="28" t="s">
        <v>1143</v>
      </c>
      <c r="E10" s="28" t="s">
        <v>666</v>
      </c>
      <c r="F10" s="28">
        <v>60</v>
      </c>
      <c r="G10" s="28">
        <v>100</v>
      </c>
      <c r="H10" s="28">
        <v>9000</v>
      </c>
      <c r="I10" s="28">
        <v>8</v>
      </c>
      <c r="J10" s="160" t="s">
        <v>776</v>
      </c>
      <c r="K10" s="28" t="s">
        <v>691</v>
      </c>
      <c r="L10" s="28" t="s">
        <v>669</v>
      </c>
      <c r="M10" s="28" t="s">
        <v>670</v>
      </c>
      <c r="N10" s="28" t="s">
        <v>671</v>
      </c>
      <c r="O10" s="29" t="s">
        <v>777</v>
      </c>
      <c r="P10" s="95" t="s">
        <v>778</v>
      </c>
      <c r="X10" s="1" t="s">
        <v>684</v>
      </c>
      <c r="Y10" s="1" t="s">
        <v>685</v>
      </c>
      <c r="Z10" s="1" t="s">
        <v>686</v>
      </c>
    </row>
    <row r="11" spans="1:26" ht="60" customHeight="1" x14ac:dyDescent="0.25">
      <c r="A11" t="s">
        <v>651</v>
      </c>
      <c r="D11" s="200" t="s">
        <v>1144</v>
      </c>
      <c r="E11" s="200" t="s">
        <v>666</v>
      </c>
      <c r="F11" s="200">
        <v>100</v>
      </c>
      <c r="G11" s="200" t="s">
        <v>688</v>
      </c>
      <c r="H11" s="200">
        <v>9000</v>
      </c>
      <c r="I11" s="200">
        <v>5</v>
      </c>
      <c r="J11" s="241" t="s">
        <v>780</v>
      </c>
      <c r="K11" s="200" t="s">
        <v>691</v>
      </c>
      <c r="L11" s="200" t="s">
        <v>689</v>
      </c>
      <c r="M11" s="200" t="s">
        <v>670</v>
      </c>
      <c r="N11" s="200" t="s">
        <v>671</v>
      </c>
      <c r="O11" s="200" t="s">
        <v>743</v>
      </c>
      <c r="P11" s="95" t="s">
        <v>708</v>
      </c>
      <c r="X11" s="1" t="s">
        <v>691</v>
      </c>
      <c r="Y11" s="1" t="s">
        <v>692</v>
      </c>
      <c r="Z11" s="1" t="s">
        <v>693</v>
      </c>
    </row>
    <row r="12" spans="1:26" ht="60" customHeight="1" x14ac:dyDescent="0.25">
      <c r="D12" s="200" t="s">
        <v>1145</v>
      </c>
      <c r="E12" s="200" t="s">
        <v>666</v>
      </c>
      <c r="F12" s="200">
        <v>60</v>
      </c>
      <c r="G12" s="200" t="s">
        <v>688</v>
      </c>
      <c r="H12" s="200">
        <v>9000</v>
      </c>
      <c r="I12" s="200">
        <v>0</v>
      </c>
      <c r="J12" s="241" t="s">
        <v>782</v>
      </c>
      <c r="K12" s="200" t="s">
        <v>696</v>
      </c>
      <c r="L12" s="200" t="s">
        <v>689</v>
      </c>
      <c r="M12" s="200" t="s">
        <v>670</v>
      </c>
      <c r="N12" s="200" t="s">
        <v>671</v>
      </c>
      <c r="O12" s="200" t="s">
        <v>743</v>
      </c>
      <c r="P12" s="95" t="s">
        <v>783</v>
      </c>
      <c r="R12" s="242"/>
      <c r="X12" s="1" t="s">
        <v>696</v>
      </c>
      <c r="Y12" s="161" t="s">
        <v>697</v>
      </c>
      <c r="Z12" s="12" t="s">
        <v>698</v>
      </c>
    </row>
    <row r="13" spans="1:26" ht="60" x14ac:dyDescent="0.25">
      <c r="A13" t="s">
        <v>651</v>
      </c>
      <c r="D13" s="200" t="s">
        <v>1146</v>
      </c>
      <c r="E13" s="200" t="s">
        <v>666</v>
      </c>
      <c r="F13" s="200">
        <v>100</v>
      </c>
      <c r="G13" s="200" t="s">
        <v>688</v>
      </c>
      <c r="H13" s="200">
        <v>1500</v>
      </c>
      <c r="I13" s="200">
        <v>14</v>
      </c>
      <c r="J13" s="241" t="s">
        <v>785</v>
      </c>
      <c r="K13" s="200" t="s">
        <v>691</v>
      </c>
      <c r="L13" s="200" t="s">
        <v>689</v>
      </c>
      <c r="M13" s="200" t="s">
        <v>786</v>
      </c>
      <c r="N13" s="200" t="s">
        <v>671</v>
      </c>
      <c r="O13" s="200" t="s">
        <v>743</v>
      </c>
      <c r="P13" s="95">
        <v>7</v>
      </c>
      <c r="R13" s="430"/>
      <c r="S13" s="430"/>
      <c r="X13" s="7"/>
      <c r="Y13" s="344" t="s">
        <v>701</v>
      </c>
      <c r="Z13" s="344"/>
    </row>
    <row r="14" spans="1:26" ht="60" x14ac:dyDescent="0.25">
      <c r="D14" s="200" t="s">
        <v>1147</v>
      </c>
      <c r="E14" s="200" t="s">
        <v>666</v>
      </c>
      <c r="F14" s="200">
        <v>60</v>
      </c>
      <c r="G14" s="200" t="s">
        <v>688</v>
      </c>
      <c r="H14" s="200">
        <v>9000</v>
      </c>
      <c r="I14" s="200">
        <v>3</v>
      </c>
      <c r="J14" s="241" t="s">
        <v>788</v>
      </c>
      <c r="K14" s="200" t="s">
        <v>696</v>
      </c>
      <c r="L14" s="200" t="s">
        <v>689</v>
      </c>
      <c r="M14" s="200" t="s">
        <v>786</v>
      </c>
      <c r="N14" s="200" t="s">
        <v>671</v>
      </c>
      <c r="O14" s="200" t="s">
        <v>743</v>
      </c>
      <c r="P14" s="95">
        <v>2</v>
      </c>
    </row>
    <row r="15" spans="1:26" ht="60" x14ac:dyDescent="0.25">
      <c r="D15" s="200" t="s">
        <v>1148</v>
      </c>
      <c r="E15" s="200" t="s">
        <v>771</v>
      </c>
      <c r="F15" s="200">
        <v>100</v>
      </c>
      <c r="G15" s="200" t="s">
        <v>688</v>
      </c>
      <c r="H15" s="200">
        <v>9000</v>
      </c>
      <c r="I15" s="200">
        <v>0</v>
      </c>
      <c r="J15" s="241" t="s">
        <v>790</v>
      </c>
      <c r="K15" s="200" t="s">
        <v>696</v>
      </c>
      <c r="L15" s="200" t="s">
        <v>689</v>
      </c>
      <c r="M15" s="200" t="s">
        <v>786</v>
      </c>
      <c r="N15" s="200" t="s">
        <v>671</v>
      </c>
      <c r="O15" s="200" t="s">
        <v>743</v>
      </c>
      <c r="P15" s="95" t="s">
        <v>791</v>
      </c>
    </row>
    <row r="16" spans="1:26" ht="60" x14ac:dyDescent="0.25">
      <c r="D16" s="200" t="s">
        <v>1149</v>
      </c>
      <c r="E16" s="200" t="s">
        <v>666</v>
      </c>
      <c r="F16" s="200">
        <v>100</v>
      </c>
      <c r="G16" s="200" t="s">
        <v>688</v>
      </c>
      <c r="H16" s="200">
        <v>9000</v>
      </c>
      <c r="I16" s="200">
        <v>1</v>
      </c>
      <c r="J16" s="241" t="s">
        <v>793</v>
      </c>
      <c r="K16" s="200" t="s">
        <v>691</v>
      </c>
      <c r="L16" s="200" t="s">
        <v>689</v>
      </c>
      <c r="M16" s="200" t="s">
        <v>786</v>
      </c>
      <c r="N16" s="200" t="s">
        <v>671</v>
      </c>
      <c r="O16" s="200" t="s">
        <v>740</v>
      </c>
      <c r="P16" s="95">
        <v>7</v>
      </c>
    </row>
    <row r="17" spans="1:18" ht="60" x14ac:dyDescent="0.25">
      <c r="D17" s="28" t="s">
        <v>1150</v>
      </c>
      <c r="E17" s="28" t="s">
        <v>771</v>
      </c>
      <c r="F17" s="28">
        <v>100</v>
      </c>
      <c r="G17" s="28">
        <v>100</v>
      </c>
      <c r="H17" s="28">
        <v>9000</v>
      </c>
      <c r="I17" s="28">
        <v>0</v>
      </c>
      <c r="J17" s="160" t="s">
        <v>795</v>
      </c>
      <c r="K17" s="28" t="s">
        <v>696</v>
      </c>
      <c r="L17" s="28" t="s">
        <v>669</v>
      </c>
      <c r="M17" s="28" t="s">
        <v>786</v>
      </c>
      <c r="N17" s="28" t="s">
        <v>671</v>
      </c>
      <c r="O17" s="29" t="s">
        <v>796</v>
      </c>
      <c r="P17" s="95">
        <v>2</v>
      </c>
    </row>
    <row r="18" spans="1:18" ht="60" x14ac:dyDescent="0.25">
      <c r="D18" s="28" t="s">
        <v>1151</v>
      </c>
      <c r="E18" s="28" t="s">
        <v>666</v>
      </c>
      <c r="F18" s="28">
        <v>60</v>
      </c>
      <c r="G18" s="28">
        <v>60</v>
      </c>
      <c r="H18" s="28">
        <v>1500</v>
      </c>
      <c r="I18" s="28">
        <v>9</v>
      </c>
      <c r="J18" s="160" t="s">
        <v>798</v>
      </c>
      <c r="K18" s="28" t="s">
        <v>696</v>
      </c>
      <c r="L18" s="28" t="s">
        <v>669</v>
      </c>
      <c r="M18" s="28" t="s">
        <v>786</v>
      </c>
      <c r="N18" s="28" t="s">
        <v>671</v>
      </c>
      <c r="O18" s="29" t="s">
        <v>799</v>
      </c>
      <c r="P18" s="95" t="s">
        <v>791</v>
      </c>
    </row>
    <row r="19" spans="1:18" ht="60" x14ac:dyDescent="0.25">
      <c r="D19" s="115" t="s">
        <v>1152</v>
      </c>
      <c r="E19" s="115" t="s">
        <v>666</v>
      </c>
      <c r="F19" s="115">
        <v>100</v>
      </c>
      <c r="G19" s="115">
        <v>100</v>
      </c>
      <c r="H19" s="115">
        <v>1500</v>
      </c>
      <c r="I19" s="115">
        <v>2</v>
      </c>
      <c r="J19" s="181" t="s">
        <v>801</v>
      </c>
      <c r="K19" s="115" t="s">
        <v>691</v>
      </c>
      <c r="L19" s="115" t="s">
        <v>669</v>
      </c>
      <c r="M19" s="115" t="s">
        <v>670</v>
      </c>
      <c r="N19" s="115" t="s">
        <v>671</v>
      </c>
      <c r="O19" s="29" t="s">
        <v>802</v>
      </c>
      <c r="P19" s="95" t="s">
        <v>803</v>
      </c>
    </row>
    <row r="20" spans="1:18" ht="60" x14ac:dyDescent="0.25">
      <c r="D20" s="28" t="s">
        <v>1153</v>
      </c>
      <c r="E20" s="28" t="s">
        <v>771</v>
      </c>
      <c r="F20" s="28">
        <v>60</v>
      </c>
      <c r="G20" s="28">
        <v>60</v>
      </c>
      <c r="H20" s="28">
        <v>9000</v>
      </c>
      <c r="I20" s="28">
        <v>0</v>
      </c>
      <c r="J20" s="160" t="s">
        <v>805</v>
      </c>
      <c r="K20" s="28" t="s">
        <v>691</v>
      </c>
      <c r="L20" s="28" t="s">
        <v>669</v>
      </c>
      <c r="M20" s="28" t="s">
        <v>670</v>
      </c>
      <c r="N20" s="28" t="s">
        <v>671</v>
      </c>
      <c r="O20" s="29" t="s">
        <v>806</v>
      </c>
      <c r="P20" s="95" t="s">
        <v>783</v>
      </c>
    </row>
    <row r="21" spans="1:18" ht="60" x14ac:dyDescent="0.25">
      <c r="D21" s="28" t="s">
        <v>1154</v>
      </c>
      <c r="E21" s="28" t="s">
        <v>666</v>
      </c>
      <c r="F21" s="28">
        <v>100</v>
      </c>
      <c r="G21" s="28">
        <v>100</v>
      </c>
      <c r="H21" s="28">
        <v>9000</v>
      </c>
      <c r="I21" s="28">
        <v>4</v>
      </c>
      <c r="J21" s="160" t="s">
        <v>808</v>
      </c>
      <c r="K21" s="28" t="s">
        <v>691</v>
      </c>
      <c r="L21" s="28" t="s">
        <v>669</v>
      </c>
      <c r="M21" s="29" t="s">
        <v>670</v>
      </c>
      <c r="N21" s="28" t="s">
        <v>671</v>
      </c>
      <c r="O21" s="28" t="s">
        <v>809</v>
      </c>
      <c r="P21" s="95" t="s">
        <v>672</v>
      </c>
    </row>
    <row r="22" spans="1:18" ht="60" x14ac:dyDescent="0.25">
      <c r="D22" s="28" t="s">
        <v>1155</v>
      </c>
      <c r="E22" s="28" t="s">
        <v>771</v>
      </c>
      <c r="F22" s="28">
        <v>100</v>
      </c>
      <c r="G22" s="28">
        <v>100</v>
      </c>
      <c r="H22" s="28">
        <v>1500</v>
      </c>
      <c r="I22" s="28">
        <v>0</v>
      </c>
      <c r="J22" s="160" t="s">
        <v>811</v>
      </c>
      <c r="K22" s="28" t="s">
        <v>691</v>
      </c>
      <c r="L22" s="28" t="s">
        <v>669</v>
      </c>
      <c r="M22" s="29" t="s">
        <v>670</v>
      </c>
      <c r="N22" s="28" t="s">
        <v>671</v>
      </c>
      <c r="O22" s="28" t="s">
        <v>812</v>
      </c>
      <c r="P22" s="95" t="s">
        <v>813</v>
      </c>
    </row>
    <row r="23" spans="1:18" ht="82.5" customHeight="1" x14ac:dyDescent="0.25">
      <c r="D23" s="200" t="s">
        <v>1156</v>
      </c>
      <c r="E23" s="200" t="s">
        <v>666</v>
      </c>
      <c r="F23" s="200">
        <v>100</v>
      </c>
      <c r="G23" s="200" t="s">
        <v>688</v>
      </c>
      <c r="H23" s="200">
        <v>9000</v>
      </c>
      <c r="I23" s="200">
        <v>11</v>
      </c>
      <c r="J23" s="241" t="s">
        <v>703</v>
      </c>
      <c r="K23" s="200" t="s">
        <v>696</v>
      </c>
      <c r="L23" s="200" t="s">
        <v>689</v>
      </c>
      <c r="M23" s="200" t="s">
        <v>670</v>
      </c>
      <c r="N23" s="200" t="s">
        <v>671</v>
      </c>
      <c r="O23" s="201" t="s">
        <v>704</v>
      </c>
      <c r="P23" s="95" t="s">
        <v>705</v>
      </c>
      <c r="Q23" s="95" t="s">
        <v>1157</v>
      </c>
    </row>
    <row r="24" spans="1:18" ht="85.5" customHeight="1" x14ac:dyDescent="0.25">
      <c r="D24" s="200" t="s">
        <v>1158</v>
      </c>
      <c r="E24" s="200" t="s">
        <v>666</v>
      </c>
      <c r="F24" s="200">
        <v>100</v>
      </c>
      <c r="G24" s="200" t="s">
        <v>688</v>
      </c>
      <c r="H24" s="200">
        <v>9000</v>
      </c>
      <c r="I24" s="200">
        <v>6</v>
      </c>
      <c r="J24" s="241" t="s">
        <v>816</v>
      </c>
      <c r="K24" s="200" t="s">
        <v>696</v>
      </c>
      <c r="L24" s="200" t="s">
        <v>689</v>
      </c>
      <c r="M24" s="201" t="s">
        <v>817</v>
      </c>
      <c r="N24" s="200" t="s">
        <v>671</v>
      </c>
      <c r="O24" s="201" t="s">
        <v>743</v>
      </c>
      <c r="P24" s="95" t="s">
        <v>818</v>
      </c>
    </row>
    <row r="25" spans="1:18" ht="80.25" customHeight="1" x14ac:dyDescent="0.25">
      <c r="D25" s="200" t="s">
        <v>1159</v>
      </c>
      <c r="E25" s="200" t="s">
        <v>666</v>
      </c>
      <c r="F25" s="200">
        <v>100</v>
      </c>
      <c r="G25" s="200" t="s">
        <v>688</v>
      </c>
      <c r="H25" s="200">
        <v>9000</v>
      </c>
      <c r="I25" s="200">
        <v>13</v>
      </c>
      <c r="J25" s="241" t="s">
        <v>1160</v>
      </c>
      <c r="K25" s="200" t="s">
        <v>696</v>
      </c>
      <c r="L25" s="200" t="s">
        <v>689</v>
      </c>
      <c r="M25" s="201" t="s">
        <v>817</v>
      </c>
      <c r="N25" s="200" t="s">
        <v>671</v>
      </c>
      <c r="O25" s="201" t="s">
        <v>743</v>
      </c>
      <c r="P25" s="95">
        <v>7</v>
      </c>
    </row>
    <row r="26" spans="1:18" ht="87.75" customHeight="1" x14ac:dyDescent="0.25">
      <c r="D26" s="243" t="s">
        <v>1161</v>
      </c>
      <c r="E26" s="243" t="s">
        <v>666</v>
      </c>
      <c r="F26" s="243">
        <v>100</v>
      </c>
      <c r="G26" s="243" t="s">
        <v>688</v>
      </c>
      <c r="H26" s="243">
        <v>9000</v>
      </c>
      <c r="I26" s="243">
        <v>8</v>
      </c>
      <c r="J26" s="244" t="s">
        <v>1162</v>
      </c>
      <c r="K26" s="243" t="s">
        <v>696</v>
      </c>
      <c r="L26" s="243" t="s">
        <v>689</v>
      </c>
      <c r="M26" s="245" t="s">
        <v>817</v>
      </c>
      <c r="N26" s="243" t="s">
        <v>671</v>
      </c>
      <c r="O26" s="201" t="s">
        <v>743</v>
      </c>
      <c r="P26" s="95">
        <v>2</v>
      </c>
    </row>
    <row r="27" spans="1:18" ht="69.75" customHeight="1" x14ac:dyDescent="0.25">
      <c r="D27" s="200" t="s">
        <v>1163</v>
      </c>
      <c r="E27" s="200" t="s">
        <v>666</v>
      </c>
      <c r="F27" s="200">
        <v>60</v>
      </c>
      <c r="G27" s="200" t="s">
        <v>688</v>
      </c>
      <c r="H27" s="200">
        <v>9000</v>
      </c>
      <c r="I27" s="200">
        <v>12</v>
      </c>
      <c r="J27" s="241" t="s">
        <v>776</v>
      </c>
      <c r="K27" s="200" t="s">
        <v>691</v>
      </c>
      <c r="L27" s="200" t="s">
        <v>689</v>
      </c>
      <c r="M27" s="201" t="s">
        <v>670</v>
      </c>
      <c r="N27" s="200" t="s">
        <v>671</v>
      </c>
      <c r="O27" s="201" t="s">
        <v>824</v>
      </c>
      <c r="P27" s="95" t="s">
        <v>778</v>
      </c>
    </row>
    <row r="28" spans="1:18" ht="80.25" customHeight="1" x14ac:dyDescent="0.25">
      <c r="D28" s="200" t="s">
        <v>1164</v>
      </c>
      <c r="E28" s="200" t="s">
        <v>666</v>
      </c>
      <c r="F28" s="200">
        <v>100</v>
      </c>
      <c r="G28" s="200" t="s">
        <v>688</v>
      </c>
      <c r="H28" s="200">
        <v>9000</v>
      </c>
      <c r="I28" s="200">
        <v>7</v>
      </c>
      <c r="J28" s="241" t="s">
        <v>667</v>
      </c>
      <c r="K28" s="200" t="s">
        <v>668</v>
      </c>
      <c r="L28" s="200" t="s">
        <v>689</v>
      </c>
      <c r="M28" s="201" t="s">
        <v>670</v>
      </c>
      <c r="N28" s="200" t="s">
        <v>671</v>
      </c>
      <c r="O28" s="201" t="s">
        <v>748</v>
      </c>
      <c r="P28" s="95" t="s">
        <v>672</v>
      </c>
      <c r="Q28" t="s">
        <v>1165</v>
      </c>
    </row>
    <row r="29" spans="1:18" ht="80.25" customHeight="1" x14ac:dyDescent="0.25">
      <c r="D29" s="200" t="s">
        <v>1166</v>
      </c>
      <c r="E29" s="200" t="s">
        <v>666</v>
      </c>
      <c r="F29" s="200">
        <v>100</v>
      </c>
      <c r="G29" s="200" t="s">
        <v>688</v>
      </c>
      <c r="H29" s="200">
        <v>9000</v>
      </c>
      <c r="I29" s="200">
        <v>12</v>
      </c>
      <c r="J29" s="241" t="s">
        <v>667</v>
      </c>
      <c r="K29" s="200" t="s">
        <v>668</v>
      </c>
      <c r="L29" s="200" t="s">
        <v>689</v>
      </c>
      <c r="M29" s="201" t="s">
        <v>670</v>
      </c>
      <c r="N29" s="200" t="s">
        <v>671</v>
      </c>
      <c r="O29" s="201" t="s">
        <v>1167</v>
      </c>
      <c r="P29" s="95" t="s">
        <v>672</v>
      </c>
    </row>
    <row r="30" spans="1:18" ht="73.5" customHeight="1" x14ac:dyDescent="0.25">
      <c r="A30" t="s">
        <v>651</v>
      </c>
      <c r="D30" s="200" t="s">
        <v>1168</v>
      </c>
      <c r="E30" s="200" t="s">
        <v>666</v>
      </c>
      <c r="F30" s="200">
        <v>100</v>
      </c>
      <c r="G30" s="200" t="s">
        <v>688</v>
      </c>
      <c r="H30" s="200">
        <v>9000</v>
      </c>
      <c r="I30" s="200">
        <v>12</v>
      </c>
      <c r="J30" s="241" t="s">
        <v>712</v>
      </c>
      <c r="K30" s="200" t="s">
        <v>668</v>
      </c>
      <c r="L30" s="200" t="s">
        <v>689</v>
      </c>
      <c r="M30" s="201" t="s">
        <v>670</v>
      </c>
      <c r="N30" s="200" t="s">
        <v>671</v>
      </c>
      <c r="O30" s="201" t="s">
        <v>1169</v>
      </c>
      <c r="P30" s="95" t="s">
        <v>714</v>
      </c>
    </row>
    <row r="31" spans="1:18" ht="80.25" customHeight="1" x14ac:dyDescent="0.25">
      <c r="D31" s="200" t="s">
        <v>1170</v>
      </c>
      <c r="E31" s="200" t="s">
        <v>666</v>
      </c>
      <c r="F31" s="200">
        <v>100</v>
      </c>
      <c r="G31" s="200" t="s">
        <v>688</v>
      </c>
      <c r="H31" s="200">
        <v>9000</v>
      </c>
      <c r="I31" s="200">
        <v>5</v>
      </c>
      <c r="J31" s="160" t="s">
        <v>736</v>
      </c>
      <c r="K31" s="200" t="s">
        <v>691</v>
      </c>
      <c r="L31" s="200" t="s">
        <v>689</v>
      </c>
      <c r="M31" s="201" t="s">
        <v>670</v>
      </c>
      <c r="N31" s="200" t="s">
        <v>671</v>
      </c>
      <c r="O31" s="201" t="s">
        <v>737</v>
      </c>
      <c r="P31" s="95" t="s">
        <v>718</v>
      </c>
    </row>
    <row r="32" spans="1:18" ht="80.25" customHeight="1" x14ac:dyDescent="0.25">
      <c r="D32" s="200" t="s">
        <v>1171</v>
      </c>
      <c r="E32" s="200" t="s">
        <v>666</v>
      </c>
      <c r="F32" s="200">
        <v>100</v>
      </c>
      <c r="G32" s="200">
        <v>100</v>
      </c>
      <c r="H32" s="200">
        <v>9000</v>
      </c>
      <c r="I32" s="200">
        <v>5</v>
      </c>
      <c r="J32" s="160" t="s">
        <v>1172</v>
      </c>
      <c r="K32" s="200" t="s">
        <v>691</v>
      </c>
      <c r="L32" s="200" t="s">
        <v>669</v>
      </c>
      <c r="M32" s="201" t="s">
        <v>670</v>
      </c>
      <c r="N32" s="200" t="s">
        <v>671</v>
      </c>
      <c r="O32" s="201" t="s">
        <v>737</v>
      </c>
      <c r="P32" s="95" t="s">
        <v>718</v>
      </c>
      <c r="R32" t="s">
        <v>651</v>
      </c>
    </row>
    <row r="33" spans="4:17" ht="93.75" customHeight="1" x14ac:dyDescent="0.25">
      <c r="D33" s="28" t="s">
        <v>1173</v>
      </c>
      <c r="E33" s="28" t="s">
        <v>666</v>
      </c>
      <c r="F33" s="28">
        <v>60</v>
      </c>
      <c r="G33" s="28">
        <v>100</v>
      </c>
      <c r="H33" s="28">
        <v>9000</v>
      </c>
      <c r="I33" s="28">
        <v>8</v>
      </c>
      <c r="J33" s="160" t="s">
        <v>776</v>
      </c>
      <c r="K33" s="28" t="s">
        <v>691</v>
      </c>
      <c r="L33" s="28" t="s">
        <v>669</v>
      </c>
      <c r="M33" s="28" t="s">
        <v>670</v>
      </c>
      <c r="N33" s="28" t="s">
        <v>671</v>
      </c>
      <c r="O33" s="29" t="s">
        <v>1174</v>
      </c>
      <c r="P33" s="95" t="s">
        <v>818</v>
      </c>
    </row>
    <row r="34" spans="4:17" ht="77.25" customHeight="1" x14ac:dyDescent="0.25">
      <c r="D34" s="200" t="s">
        <v>1175</v>
      </c>
      <c r="E34" s="200" t="s">
        <v>666</v>
      </c>
      <c r="F34" s="200">
        <v>60</v>
      </c>
      <c r="G34" s="200" t="s">
        <v>688</v>
      </c>
      <c r="H34" s="200">
        <v>9000</v>
      </c>
      <c r="I34" s="200">
        <v>12</v>
      </c>
      <c r="J34" s="241" t="s">
        <v>776</v>
      </c>
      <c r="K34" s="200" t="s">
        <v>691</v>
      </c>
      <c r="L34" s="200" t="s">
        <v>689</v>
      </c>
      <c r="M34" s="201" t="s">
        <v>670</v>
      </c>
      <c r="N34" s="200" t="s">
        <v>671</v>
      </c>
      <c r="O34" s="201" t="s">
        <v>1176</v>
      </c>
      <c r="P34" s="95" t="s">
        <v>818</v>
      </c>
    </row>
    <row r="35" spans="4:17" ht="98.25" customHeight="1" x14ac:dyDescent="0.25">
      <c r="D35" s="200" t="s">
        <v>1177</v>
      </c>
      <c r="E35" s="200" t="s">
        <v>666</v>
      </c>
      <c r="F35" s="200">
        <v>100</v>
      </c>
      <c r="G35" s="200" t="s">
        <v>688</v>
      </c>
      <c r="H35" s="200">
        <v>9000</v>
      </c>
      <c r="I35" s="200">
        <v>7</v>
      </c>
      <c r="J35" s="241" t="s">
        <v>667</v>
      </c>
      <c r="K35" s="200" t="s">
        <v>668</v>
      </c>
      <c r="L35" s="200" t="s">
        <v>689</v>
      </c>
      <c r="M35" s="201" t="s">
        <v>670</v>
      </c>
      <c r="N35" s="200" t="s">
        <v>671</v>
      </c>
      <c r="O35" s="201" t="s">
        <v>1178</v>
      </c>
      <c r="P35" s="95" t="s">
        <v>672</v>
      </c>
    </row>
    <row r="36" spans="4:17" ht="85.5" customHeight="1" x14ac:dyDescent="0.25">
      <c r="D36" s="200" t="s">
        <v>1179</v>
      </c>
      <c r="E36" s="200" t="s">
        <v>666</v>
      </c>
      <c r="F36" s="200">
        <v>100</v>
      </c>
      <c r="G36" s="200" t="s">
        <v>688</v>
      </c>
      <c r="H36" s="200">
        <v>9000</v>
      </c>
      <c r="I36" s="200">
        <v>14</v>
      </c>
      <c r="J36" s="241" t="s">
        <v>1180</v>
      </c>
      <c r="K36" s="200" t="s">
        <v>668</v>
      </c>
      <c r="L36" s="200" t="s">
        <v>689</v>
      </c>
      <c r="M36" s="201" t="s">
        <v>670</v>
      </c>
      <c r="N36" s="200" t="s">
        <v>671</v>
      </c>
      <c r="O36" s="201" t="s">
        <v>1181</v>
      </c>
      <c r="P36" s="95" t="s">
        <v>705</v>
      </c>
    </row>
    <row r="37" spans="4:17" ht="92.25" customHeight="1" x14ac:dyDescent="0.25">
      <c r="D37" s="200" t="s">
        <v>1182</v>
      </c>
      <c r="E37" s="200" t="s">
        <v>666</v>
      </c>
      <c r="F37" s="200">
        <v>60</v>
      </c>
      <c r="G37" s="200" t="s">
        <v>688</v>
      </c>
      <c r="H37" s="200">
        <v>9000</v>
      </c>
      <c r="I37" s="200">
        <v>0</v>
      </c>
      <c r="J37" s="241" t="s">
        <v>1183</v>
      </c>
      <c r="K37" s="200" t="s">
        <v>696</v>
      </c>
      <c r="L37" s="200" t="s">
        <v>689</v>
      </c>
      <c r="M37" s="200" t="s">
        <v>670</v>
      </c>
      <c r="N37" s="200" t="s">
        <v>671</v>
      </c>
      <c r="O37" s="201" t="s">
        <v>1181</v>
      </c>
      <c r="P37" s="95" t="s">
        <v>1184</v>
      </c>
    </row>
    <row r="38" spans="4:17" ht="89.25" customHeight="1" x14ac:dyDescent="0.25">
      <c r="D38" s="28" t="s">
        <v>1185</v>
      </c>
      <c r="E38" s="28" t="s">
        <v>771</v>
      </c>
      <c r="F38" s="28">
        <v>60</v>
      </c>
      <c r="G38" s="28" t="s">
        <v>688</v>
      </c>
      <c r="H38" s="28">
        <v>1500</v>
      </c>
      <c r="I38" s="28">
        <v>0</v>
      </c>
      <c r="J38" s="160" t="s">
        <v>1186</v>
      </c>
      <c r="K38" s="28" t="s">
        <v>696</v>
      </c>
      <c r="L38" s="28" t="s">
        <v>689</v>
      </c>
      <c r="M38" s="28" t="s">
        <v>670</v>
      </c>
      <c r="N38" s="28" t="s">
        <v>671</v>
      </c>
      <c r="O38" s="29" t="s">
        <v>1181</v>
      </c>
      <c r="P38" s="95">
        <v>7</v>
      </c>
    </row>
    <row r="39" spans="4:17" ht="92.25" customHeight="1" x14ac:dyDescent="0.25">
      <c r="D39" s="28" t="s">
        <v>1187</v>
      </c>
      <c r="E39" s="28" t="s">
        <v>666</v>
      </c>
      <c r="F39" s="28">
        <v>100</v>
      </c>
      <c r="G39" s="28" t="s">
        <v>688</v>
      </c>
      <c r="H39" s="28">
        <v>9000</v>
      </c>
      <c r="I39" s="28">
        <v>12</v>
      </c>
      <c r="J39" s="160" t="s">
        <v>1188</v>
      </c>
      <c r="K39" s="28" t="s">
        <v>668</v>
      </c>
      <c r="L39" s="28" t="s">
        <v>689</v>
      </c>
      <c r="M39" s="28" t="s">
        <v>670</v>
      </c>
      <c r="N39" s="28" t="s">
        <v>671</v>
      </c>
      <c r="O39" s="29" t="s">
        <v>1181</v>
      </c>
      <c r="P39" s="95">
        <v>9</v>
      </c>
    </row>
    <row r="40" spans="4:17" ht="93" customHeight="1" x14ac:dyDescent="0.25">
      <c r="D40" s="28" t="s">
        <v>1189</v>
      </c>
      <c r="E40" s="28" t="s">
        <v>666</v>
      </c>
      <c r="F40" s="28">
        <v>60</v>
      </c>
      <c r="G40" s="28" t="s">
        <v>688</v>
      </c>
      <c r="H40" s="28">
        <v>9000</v>
      </c>
      <c r="I40" s="28">
        <v>10</v>
      </c>
      <c r="J40" s="160" t="s">
        <v>1190</v>
      </c>
      <c r="K40" s="28" t="s">
        <v>668</v>
      </c>
      <c r="L40" s="28" t="s">
        <v>689</v>
      </c>
      <c r="M40" s="28" t="s">
        <v>670</v>
      </c>
      <c r="N40" s="28" t="s">
        <v>671</v>
      </c>
      <c r="O40" s="29" t="s">
        <v>1181</v>
      </c>
      <c r="P40" s="95" t="s">
        <v>1191</v>
      </c>
    </row>
    <row r="41" spans="4:17" ht="92.25" customHeight="1" x14ac:dyDescent="0.25">
      <c r="D41" s="200" t="s">
        <v>1192</v>
      </c>
      <c r="E41" s="200" t="s">
        <v>666</v>
      </c>
      <c r="F41" s="200">
        <v>100</v>
      </c>
      <c r="G41" s="200" t="s">
        <v>688</v>
      </c>
      <c r="H41" s="200">
        <v>9000</v>
      </c>
      <c r="I41" s="200">
        <v>1</v>
      </c>
      <c r="J41" s="241" t="s">
        <v>739</v>
      </c>
      <c r="K41" s="200" t="s">
        <v>691</v>
      </c>
      <c r="L41" s="200" t="s">
        <v>689</v>
      </c>
      <c r="M41" s="28" t="s">
        <v>670</v>
      </c>
      <c r="N41" s="200" t="s">
        <v>671</v>
      </c>
      <c r="O41" s="200" t="s">
        <v>740</v>
      </c>
      <c r="P41" s="95" t="s">
        <v>672</v>
      </c>
    </row>
    <row r="42" spans="4:17" ht="96.75" customHeight="1" x14ac:dyDescent="0.25">
      <c r="D42" s="28" t="s">
        <v>1193</v>
      </c>
      <c r="E42" s="28" t="s">
        <v>666</v>
      </c>
      <c r="F42" s="28">
        <v>100</v>
      </c>
      <c r="G42" s="200" t="s">
        <v>688</v>
      </c>
      <c r="H42" s="28">
        <v>9000</v>
      </c>
      <c r="I42" s="28">
        <v>15</v>
      </c>
      <c r="J42" s="160" t="s">
        <v>1194</v>
      </c>
      <c r="K42" s="28" t="s">
        <v>696</v>
      </c>
      <c r="L42" s="28" t="s">
        <v>689</v>
      </c>
      <c r="M42" s="28" t="s">
        <v>670</v>
      </c>
      <c r="N42" s="28" t="s">
        <v>671</v>
      </c>
      <c r="O42" s="28" t="s">
        <v>743</v>
      </c>
      <c r="P42" s="95" t="s">
        <v>1195</v>
      </c>
    </row>
    <row r="43" spans="4:17" ht="108.75" customHeight="1" x14ac:dyDescent="0.25">
      <c r="D43" s="28" t="s">
        <v>1196</v>
      </c>
      <c r="E43" s="28" t="s">
        <v>666</v>
      </c>
      <c r="F43" s="28">
        <v>100</v>
      </c>
      <c r="G43" s="200" t="s">
        <v>688</v>
      </c>
      <c r="H43" s="28">
        <v>9000</v>
      </c>
      <c r="I43" s="28">
        <v>12</v>
      </c>
      <c r="J43" s="160" t="s">
        <v>742</v>
      </c>
      <c r="K43" s="28" t="s">
        <v>668</v>
      </c>
      <c r="L43" s="28" t="s">
        <v>689</v>
      </c>
      <c r="M43" s="28" t="s">
        <v>670</v>
      </c>
      <c r="N43" s="28" t="s">
        <v>671</v>
      </c>
      <c r="O43" s="28" t="s">
        <v>743</v>
      </c>
      <c r="P43" s="95" t="s">
        <v>718</v>
      </c>
    </row>
    <row r="44" spans="4:17" ht="87.75" customHeight="1" x14ac:dyDescent="0.25">
      <c r="D44" s="200" t="s">
        <v>1197</v>
      </c>
      <c r="E44" s="200" t="s">
        <v>666</v>
      </c>
      <c r="F44" s="200">
        <v>100</v>
      </c>
      <c r="G44" s="200" t="s">
        <v>688</v>
      </c>
      <c r="H44" s="200">
        <v>1500</v>
      </c>
      <c r="I44" s="200">
        <v>14</v>
      </c>
      <c r="J44" s="241" t="s">
        <v>1198</v>
      </c>
      <c r="K44" s="200" t="s">
        <v>691</v>
      </c>
      <c r="L44" s="200" t="s">
        <v>689</v>
      </c>
      <c r="M44" s="28" t="s">
        <v>670</v>
      </c>
      <c r="N44" s="200" t="s">
        <v>671</v>
      </c>
      <c r="O44" s="200" t="s">
        <v>743</v>
      </c>
      <c r="P44" s="95" t="s">
        <v>1199</v>
      </c>
    </row>
    <row r="45" spans="4:17" ht="106.5" customHeight="1" x14ac:dyDescent="0.25">
      <c r="D45" s="28" t="s">
        <v>1200</v>
      </c>
      <c r="E45" s="28" t="s">
        <v>666</v>
      </c>
      <c r="F45" s="28">
        <v>100</v>
      </c>
      <c r="G45" s="28" t="s">
        <v>688</v>
      </c>
      <c r="H45" s="28">
        <v>9000</v>
      </c>
      <c r="I45" s="28">
        <v>10</v>
      </c>
      <c r="J45" s="198" t="s">
        <v>720</v>
      </c>
      <c r="K45" s="28" t="s">
        <v>668</v>
      </c>
      <c r="L45" s="28" t="s">
        <v>689</v>
      </c>
      <c r="M45" s="28" t="s">
        <v>670</v>
      </c>
      <c r="N45" s="28" t="s">
        <v>721</v>
      </c>
      <c r="O45" s="29" t="s">
        <v>722</v>
      </c>
      <c r="P45" s="95" t="s">
        <v>672</v>
      </c>
      <c r="Q45" s="199"/>
    </row>
    <row r="46" spans="4:17" ht="106.5" customHeight="1" x14ac:dyDescent="0.25">
      <c r="D46" s="28" t="s">
        <v>1201</v>
      </c>
      <c r="E46" s="28" t="s">
        <v>666</v>
      </c>
      <c r="F46" s="28">
        <v>100</v>
      </c>
      <c r="G46" s="28" t="s">
        <v>688</v>
      </c>
      <c r="H46" s="28">
        <v>9000</v>
      </c>
      <c r="I46" s="28">
        <v>12</v>
      </c>
      <c r="J46" s="198" t="s">
        <v>720</v>
      </c>
      <c r="K46" s="28" t="s">
        <v>668</v>
      </c>
      <c r="L46" s="28" t="s">
        <v>689</v>
      </c>
      <c r="M46" s="28" t="s">
        <v>670</v>
      </c>
      <c r="N46" s="28" t="s">
        <v>721</v>
      </c>
      <c r="O46" s="29" t="s">
        <v>724</v>
      </c>
      <c r="P46" s="95" t="s">
        <v>672</v>
      </c>
      <c r="Q46" s="199"/>
    </row>
    <row r="47" spans="4:17" ht="106.5" customHeight="1" x14ac:dyDescent="0.25">
      <c r="D47" s="228" t="s">
        <v>1202</v>
      </c>
      <c r="E47" s="228" t="s">
        <v>666</v>
      </c>
      <c r="F47" s="228">
        <v>100</v>
      </c>
      <c r="G47" s="228" t="s">
        <v>688</v>
      </c>
      <c r="H47" s="228">
        <v>9000</v>
      </c>
      <c r="I47" s="228">
        <v>10</v>
      </c>
      <c r="J47" s="229" t="s">
        <v>1203</v>
      </c>
      <c r="K47" s="228" t="s">
        <v>691</v>
      </c>
      <c r="L47" s="228" t="s">
        <v>689</v>
      </c>
      <c r="M47" s="228" t="s">
        <v>670</v>
      </c>
      <c r="N47" s="228" t="s">
        <v>721</v>
      </c>
      <c r="O47" s="230" t="s">
        <v>1204</v>
      </c>
      <c r="P47" s="231" t="s">
        <v>708</v>
      </c>
      <c r="Q47" s="199"/>
    </row>
    <row r="48" spans="4:17" ht="125.25" customHeight="1" x14ac:dyDescent="0.25">
      <c r="D48" s="228" t="s">
        <v>1205</v>
      </c>
      <c r="E48" s="228" t="s">
        <v>666</v>
      </c>
      <c r="F48" s="228">
        <v>100</v>
      </c>
      <c r="G48" s="228" t="s">
        <v>688</v>
      </c>
      <c r="H48" s="228">
        <v>9000</v>
      </c>
      <c r="I48" s="228">
        <v>14</v>
      </c>
      <c r="J48" s="229" t="s">
        <v>1206</v>
      </c>
      <c r="K48" s="228" t="s">
        <v>691</v>
      </c>
      <c r="L48" s="228" t="s">
        <v>689</v>
      </c>
      <c r="M48" s="228" t="s">
        <v>670</v>
      </c>
      <c r="N48" s="228" t="s">
        <v>721</v>
      </c>
      <c r="O48" s="230" t="s">
        <v>1207</v>
      </c>
      <c r="P48" s="231">
        <v>7</v>
      </c>
      <c r="Q48" s="199"/>
    </row>
    <row r="49" spans="4:17" ht="111" customHeight="1" x14ac:dyDescent="0.25">
      <c r="D49" s="200" t="s">
        <v>1208</v>
      </c>
      <c r="E49" s="200" t="s">
        <v>771</v>
      </c>
      <c r="F49" s="200">
        <v>100</v>
      </c>
      <c r="G49" s="200" t="s">
        <v>688</v>
      </c>
      <c r="H49" s="200">
        <v>9000</v>
      </c>
      <c r="I49" s="200">
        <v>0</v>
      </c>
      <c r="J49" s="201" t="s">
        <v>1209</v>
      </c>
      <c r="K49" s="200" t="s">
        <v>696</v>
      </c>
      <c r="L49" s="200" t="s">
        <v>689</v>
      </c>
      <c r="M49" s="200" t="s">
        <v>786</v>
      </c>
      <c r="N49" s="200" t="s">
        <v>721</v>
      </c>
      <c r="O49" s="201" t="s">
        <v>1210</v>
      </c>
      <c r="P49" s="95" t="s">
        <v>791</v>
      </c>
    </row>
    <row r="50" spans="4:17" ht="111" customHeight="1" x14ac:dyDescent="0.25">
      <c r="D50" s="28" t="s">
        <v>1211</v>
      </c>
      <c r="E50" s="28" t="s">
        <v>666</v>
      </c>
      <c r="F50" s="28">
        <v>100</v>
      </c>
      <c r="G50" s="28" t="s">
        <v>688</v>
      </c>
      <c r="H50" s="28">
        <v>9000</v>
      </c>
      <c r="I50" s="28">
        <v>10</v>
      </c>
      <c r="J50" s="198" t="s">
        <v>720</v>
      </c>
      <c r="K50" s="28" t="s">
        <v>668</v>
      </c>
      <c r="L50" s="28" t="s">
        <v>689</v>
      </c>
      <c r="M50" s="28" t="s">
        <v>670</v>
      </c>
      <c r="N50" s="28" t="s">
        <v>721</v>
      </c>
      <c r="O50" s="29" t="s">
        <v>732</v>
      </c>
      <c r="P50" s="95" t="s">
        <v>672</v>
      </c>
    </row>
    <row r="51" spans="4:17" ht="100.5" customHeight="1" x14ac:dyDescent="0.25">
      <c r="D51" s="28" t="s">
        <v>1212</v>
      </c>
      <c r="E51" s="28" t="s">
        <v>666</v>
      </c>
      <c r="F51" s="28">
        <v>60</v>
      </c>
      <c r="G51" s="28" t="s">
        <v>688</v>
      </c>
      <c r="H51" s="28">
        <v>1500</v>
      </c>
      <c r="I51" s="28">
        <v>9</v>
      </c>
      <c r="J51" s="198" t="s">
        <v>720</v>
      </c>
      <c r="K51" s="28" t="s">
        <v>696</v>
      </c>
      <c r="L51" s="28" t="s">
        <v>689</v>
      </c>
      <c r="M51" s="28" t="s">
        <v>670</v>
      </c>
      <c r="N51" s="28" t="s">
        <v>721</v>
      </c>
      <c r="O51" s="29" t="s">
        <v>1213</v>
      </c>
      <c r="P51" s="95" t="s">
        <v>672</v>
      </c>
    </row>
    <row r="52" spans="4:17" ht="156" customHeight="1" x14ac:dyDescent="0.25">
      <c r="D52" s="228" t="s">
        <v>1214</v>
      </c>
      <c r="E52" s="228" t="s">
        <v>666</v>
      </c>
      <c r="F52" s="228">
        <v>100</v>
      </c>
      <c r="G52" s="228" t="s">
        <v>688</v>
      </c>
      <c r="H52" s="228">
        <v>9000</v>
      </c>
      <c r="I52" s="228">
        <v>10</v>
      </c>
      <c r="J52" s="229" t="s">
        <v>1206</v>
      </c>
      <c r="K52" s="228" t="s">
        <v>691</v>
      </c>
      <c r="L52" s="228" t="s">
        <v>689</v>
      </c>
      <c r="M52" s="228" t="s">
        <v>670</v>
      </c>
      <c r="N52" s="228" t="s">
        <v>721</v>
      </c>
      <c r="O52" s="230" t="s">
        <v>1215</v>
      </c>
      <c r="P52" s="231">
        <v>7</v>
      </c>
    </row>
    <row r="53" spans="4:17" ht="160.5" customHeight="1" x14ac:dyDescent="0.25">
      <c r="D53" s="200" t="s">
        <v>1216</v>
      </c>
      <c r="E53" s="200" t="s">
        <v>666</v>
      </c>
      <c r="F53" s="200">
        <v>60</v>
      </c>
      <c r="G53" s="200" t="s">
        <v>688</v>
      </c>
      <c r="H53" s="200">
        <v>9000</v>
      </c>
      <c r="I53" s="200">
        <v>13</v>
      </c>
      <c r="J53" s="201" t="s">
        <v>1217</v>
      </c>
      <c r="K53" s="228" t="s">
        <v>668</v>
      </c>
      <c r="L53" s="200" t="s">
        <v>689</v>
      </c>
      <c r="M53" s="200" t="s">
        <v>786</v>
      </c>
      <c r="N53" s="200" t="s">
        <v>721</v>
      </c>
      <c r="O53" s="201" t="s">
        <v>1218</v>
      </c>
      <c r="P53" s="95" t="s">
        <v>791</v>
      </c>
    </row>
    <row r="54" spans="4:17" ht="207.75" customHeight="1" x14ac:dyDescent="0.25">
      <c r="D54" s="228" t="s">
        <v>1219</v>
      </c>
      <c r="E54" s="228" t="s">
        <v>666</v>
      </c>
      <c r="F54" s="228">
        <v>60</v>
      </c>
      <c r="G54" s="228" t="s">
        <v>688</v>
      </c>
      <c r="H54" s="228">
        <v>1500</v>
      </c>
      <c r="I54" s="228">
        <v>7</v>
      </c>
      <c r="J54" s="230" t="s">
        <v>1220</v>
      </c>
      <c r="K54" s="228" t="s">
        <v>696</v>
      </c>
      <c r="L54" s="228" t="s">
        <v>689</v>
      </c>
      <c r="M54" s="228" t="s">
        <v>786</v>
      </c>
      <c r="N54" s="228" t="s">
        <v>721</v>
      </c>
      <c r="O54" s="230" t="s">
        <v>1221</v>
      </c>
      <c r="P54" s="231" t="s">
        <v>791</v>
      </c>
    </row>
    <row r="55" spans="4:17" ht="102" customHeight="1" x14ac:dyDescent="0.25">
      <c r="D55" s="200" t="s">
        <v>1222</v>
      </c>
      <c r="E55" s="200" t="s">
        <v>666</v>
      </c>
      <c r="F55" s="200">
        <v>100</v>
      </c>
      <c r="G55" s="200" t="s">
        <v>688</v>
      </c>
      <c r="H55" s="200">
        <v>9000</v>
      </c>
      <c r="I55" s="200">
        <v>8</v>
      </c>
      <c r="J55" s="241" t="s">
        <v>1223</v>
      </c>
      <c r="K55" s="200" t="s">
        <v>696</v>
      </c>
      <c r="L55" s="200" t="s">
        <v>689</v>
      </c>
      <c r="M55" s="201" t="s">
        <v>1224</v>
      </c>
      <c r="N55" s="200" t="s">
        <v>671</v>
      </c>
      <c r="O55" s="201" t="s">
        <v>743</v>
      </c>
      <c r="P55" s="95">
        <v>2</v>
      </c>
    </row>
    <row r="56" spans="4:17" ht="108.75" customHeight="1" x14ac:dyDescent="0.25">
      <c r="D56" s="200" t="s">
        <v>1225</v>
      </c>
      <c r="E56" s="200" t="s">
        <v>666</v>
      </c>
      <c r="F56" s="200">
        <v>100</v>
      </c>
      <c r="G56" s="200" t="s">
        <v>688</v>
      </c>
      <c r="H56" s="200">
        <v>9000</v>
      </c>
      <c r="I56" s="200">
        <v>7</v>
      </c>
      <c r="J56" s="241" t="s">
        <v>667</v>
      </c>
      <c r="K56" s="200" t="s">
        <v>668</v>
      </c>
      <c r="L56" s="200" t="s">
        <v>689</v>
      </c>
      <c r="M56" s="201" t="s">
        <v>670</v>
      </c>
      <c r="N56" s="200" t="s">
        <v>671</v>
      </c>
      <c r="O56" s="201" t="s">
        <v>1226</v>
      </c>
      <c r="P56" s="95" t="s">
        <v>672</v>
      </c>
    </row>
    <row r="57" spans="4:17" ht="90" customHeight="1" x14ac:dyDescent="0.25">
      <c r="D57" s="200" t="s">
        <v>1227</v>
      </c>
      <c r="E57" s="200" t="s">
        <v>666</v>
      </c>
      <c r="F57" s="200">
        <v>100</v>
      </c>
      <c r="G57" s="200" t="s">
        <v>688</v>
      </c>
      <c r="H57" s="200">
        <v>9000</v>
      </c>
      <c r="I57" s="200">
        <v>7</v>
      </c>
      <c r="J57" s="241" t="s">
        <v>667</v>
      </c>
      <c r="K57" s="200" t="s">
        <v>668</v>
      </c>
      <c r="L57" s="200" t="s">
        <v>689</v>
      </c>
      <c r="M57" s="201" t="s">
        <v>670</v>
      </c>
      <c r="N57" s="200" t="s">
        <v>671</v>
      </c>
      <c r="O57" s="283" t="s">
        <v>1228</v>
      </c>
      <c r="P57" s="95" t="s">
        <v>672</v>
      </c>
    </row>
    <row r="58" spans="4:17" ht="107.25" customHeight="1" x14ac:dyDescent="0.25">
      <c r="D58" s="28" t="s">
        <v>1229</v>
      </c>
      <c r="E58" s="28" t="s">
        <v>666</v>
      </c>
      <c r="F58" s="28">
        <v>60</v>
      </c>
      <c r="G58" s="28" t="s">
        <v>688</v>
      </c>
      <c r="H58" s="28">
        <v>9000</v>
      </c>
      <c r="I58" s="28">
        <v>10</v>
      </c>
      <c r="J58" s="160" t="s">
        <v>745</v>
      </c>
      <c r="K58" s="28" t="s">
        <v>668</v>
      </c>
      <c r="L58" s="28" t="s">
        <v>689</v>
      </c>
      <c r="M58" s="28" t="s">
        <v>670</v>
      </c>
      <c r="N58" s="28" t="s">
        <v>671</v>
      </c>
      <c r="O58" s="247" t="s">
        <v>746</v>
      </c>
      <c r="P58" s="95" t="s">
        <v>672</v>
      </c>
      <c r="Q58" s="129"/>
    </row>
    <row r="59" spans="4:17" ht="160.5" customHeight="1" x14ac:dyDescent="0.25">
      <c r="D59" s="28" t="s">
        <v>1230</v>
      </c>
      <c r="E59" s="28" t="s">
        <v>666</v>
      </c>
      <c r="F59" s="28">
        <v>60</v>
      </c>
      <c r="G59" s="28" t="s">
        <v>688</v>
      </c>
      <c r="H59" s="28">
        <v>9000</v>
      </c>
      <c r="I59" s="28">
        <v>10</v>
      </c>
      <c r="J59" s="160" t="s">
        <v>745</v>
      </c>
      <c r="K59" s="28" t="s">
        <v>668</v>
      </c>
      <c r="L59" s="28" t="s">
        <v>689</v>
      </c>
      <c r="M59" s="28" t="s">
        <v>670</v>
      </c>
      <c r="N59" s="28" t="s">
        <v>671</v>
      </c>
      <c r="O59" s="247" t="s">
        <v>1231</v>
      </c>
      <c r="P59" s="95" t="s">
        <v>672</v>
      </c>
      <c r="Q59" s="129"/>
    </row>
    <row r="60" spans="4:17" ht="66" customHeight="1" x14ac:dyDescent="0.25">
      <c r="D60" s="200" t="s">
        <v>1232</v>
      </c>
      <c r="E60" s="200" t="s">
        <v>666</v>
      </c>
      <c r="F60" s="200">
        <v>100</v>
      </c>
      <c r="G60" s="200" t="s">
        <v>688</v>
      </c>
      <c r="H60" s="200">
        <v>9000</v>
      </c>
      <c r="I60" s="200">
        <v>12</v>
      </c>
      <c r="J60" s="241" t="s">
        <v>667</v>
      </c>
      <c r="K60" s="200" t="s">
        <v>668</v>
      </c>
      <c r="L60" s="200" t="s">
        <v>689</v>
      </c>
      <c r="M60" s="201" t="s">
        <v>670</v>
      </c>
      <c r="N60" s="200" t="s">
        <v>671</v>
      </c>
      <c r="O60" s="201" t="s">
        <v>1233</v>
      </c>
      <c r="P60" s="95" t="s">
        <v>672</v>
      </c>
      <c r="Q60" s="129"/>
    </row>
    <row r="61" spans="4:17" ht="60" x14ac:dyDescent="0.25">
      <c r="D61" s="200" t="s">
        <v>1234</v>
      </c>
      <c r="E61" s="200" t="s">
        <v>666</v>
      </c>
      <c r="F61" s="200">
        <v>60</v>
      </c>
      <c r="G61" s="200" t="s">
        <v>688</v>
      </c>
      <c r="H61" s="200">
        <v>9000</v>
      </c>
      <c r="I61" s="200">
        <v>0</v>
      </c>
      <c r="J61" s="241" t="s">
        <v>782</v>
      </c>
      <c r="K61" s="200" t="s">
        <v>696</v>
      </c>
      <c r="L61" s="200" t="s">
        <v>689</v>
      </c>
      <c r="M61" s="200" t="s">
        <v>670</v>
      </c>
      <c r="N61" s="200" t="s">
        <v>671</v>
      </c>
      <c r="O61" s="200" t="s">
        <v>1235</v>
      </c>
      <c r="P61" s="95" t="s">
        <v>783</v>
      </c>
      <c r="Q61" s="239"/>
    </row>
    <row r="62" spans="4:17" ht="60" x14ac:dyDescent="0.25">
      <c r="D62" s="200" t="s">
        <v>1236</v>
      </c>
      <c r="E62" s="200" t="s">
        <v>666</v>
      </c>
      <c r="F62" s="200">
        <v>60</v>
      </c>
      <c r="G62" s="200" t="s">
        <v>688</v>
      </c>
      <c r="H62" s="200">
        <v>9000</v>
      </c>
      <c r="I62" s="200">
        <v>0</v>
      </c>
      <c r="J62" s="241" t="s">
        <v>782</v>
      </c>
      <c r="K62" s="200" t="s">
        <v>696</v>
      </c>
      <c r="L62" s="200" t="s">
        <v>689</v>
      </c>
      <c r="M62" s="200" t="s">
        <v>670</v>
      </c>
      <c r="N62" s="200" t="s">
        <v>671</v>
      </c>
      <c r="O62" s="283" t="s">
        <v>1237</v>
      </c>
      <c r="P62" s="95" t="s">
        <v>783</v>
      </c>
      <c r="Q62" s="239"/>
    </row>
    <row r="63" spans="4:17" ht="78.75" customHeight="1" x14ac:dyDescent="0.25">
      <c r="D63" s="200" t="s">
        <v>1238</v>
      </c>
      <c r="E63" s="200" t="s">
        <v>666</v>
      </c>
      <c r="F63" s="200">
        <v>60</v>
      </c>
      <c r="G63" s="200" t="s">
        <v>688</v>
      </c>
      <c r="H63" s="200">
        <v>9000</v>
      </c>
      <c r="I63" s="200">
        <v>0</v>
      </c>
      <c r="J63" s="241" t="s">
        <v>782</v>
      </c>
      <c r="K63" s="200" t="s">
        <v>696</v>
      </c>
      <c r="L63" s="200" t="s">
        <v>689</v>
      </c>
      <c r="M63" s="200" t="s">
        <v>670</v>
      </c>
      <c r="N63" s="200" t="s">
        <v>671</v>
      </c>
      <c r="O63" s="283" t="s">
        <v>1239</v>
      </c>
      <c r="P63" s="95" t="s">
        <v>783</v>
      </c>
      <c r="Q63" s="239"/>
    </row>
    <row r="64" spans="4:17" ht="77.25" customHeight="1" x14ac:dyDescent="0.25">
      <c r="D64" s="200" t="s">
        <v>1240</v>
      </c>
      <c r="E64" s="200" t="s">
        <v>666</v>
      </c>
      <c r="F64" s="200">
        <v>60</v>
      </c>
      <c r="G64" s="200" t="s">
        <v>688</v>
      </c>
      <c r="H64" s="200">
        <v>9000</v>
      </c>
      <c r="I64" s="200">
        <v>12</v>
      </c>
      <c r="J64" s="241" t="s">
        <v>776</v>
      </c>
      <c r="K64" s="200" t="s">
        <v>691</v>
      </c>
      <c r="L64" s="200" t="s">
        <v>689</v>
      </c>
      <c r="M64" s="201" t="s">
        <v>670</v>
      </c>
      <c r="N64" s="200" t="s">
        <v>671</v>
      </c>
      <c r="O64" s="201" t="s">
        <v>1241</v>
      </c>
      <c r="P64" s="95" t="s">
        <v>818</v>
      </c>
      <c r="Q64" s="239"/>
    </row>
    <row r="65" spans="4:16" ht="75.75" x14ac:dyDescent="0.25">
      <c r="D65" s="28" t="s">
        <v>1242</v>
      </c>
      <c r="E65" s="28" t="s">
        <v>666</v>
      </c>
      <c r="F65" s="28">
        <v>100</v>
      </c>
      <c r="G65" s="28" t="s">
        <v>688</v>
      </c>
      <c r="H65" s="28">
        <v>9000</v>
      </c>
      <c r="I65" s="28">
        <v>10</v>
      </c>
      <c r="J65" s="198" t="s">
        <v>1243</v>
      </c>
      <c r="K65" s="28" t="s">
        <v>668</v>
      </c>
      <c r="L65" s="28" t="s">
        <v>689</v>
      </c>
      <c r="M65" s="28" t="s">
        <v>670</v>
      </c>
      <c r="N65" s="28" t="s">
        <v>721</v>
      </c>
      <c r="O65" s="29" t="s">
        <v>1244</v>
      </c>
      <c r="P65" s="95" t="s">
        <v>672</v>
      </c>
    </row>
  </sheetData>
  <mergeCells count="6">
    <mergeCell ref="Q6:S6"/>
    <mergeCell ref="R13:S13"/>
    <mergeCell ref="Q8:S8"/>
    <mergeCell ref="X6:Z6"/>
    <mergeCell ref="X8:Z8"/>
    <mergeCell ref="Y13:Z13"/>
  </mergeCells>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12EF189E653C449E6CA9D37DBEAB2D" ma:contentTypeVersion="8" ma:contentTypeDescription="Create a new document." ma:contentTypeScope="" ma:versionID="1f3c0ab2433ce0bd9ff3a28cf806c88d">
  <xsd:schema xmlns:xsd="http://www.w3.org/2001/XMLSchema" xmlns:xs="http://www.w3.org/2001/XMLSchema" xmlns:p="http://schemas.microsoft.com/office/2006/metadata/properties" xmlns:ns2="c7003066-3942-40e7-97ad-7aad8f02991a" targetNamespace="http://schemas.microsoft.com/office/2006/metadata/properties" ma:root="true" ma:fieldsID="36463f8314b1e75e79768737f8528b0e" ns2:_="">
    <xsd:import namespace="c7003066-3942-40e7-97ad-7aad8f0299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003066-3942-40e7-97ad-7aad8f0299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197871-9014-43A9-ACA9-3FB56CC4590A}">
  <ds:schemaRefs>
    <ds:schemaRef ds:uri="http://schemas.microsoft.com/sharepoint/v3/contenttype/forms"/>
  </ds:schemaRefs>
</ds:datastoreItem>
</file>

<file path=customXml/itemProps2.xml><?xml version="1.0" encoding="utf-8"?>
<ds:datastoreItem xmlns:ds="http://schemas.openxmlformats.org/officeDocument/2006/customXml" ds:itemID="{1CEE263F-AAD9-4C69-BB06-494FA9CC49EE}">
  <ds:schemaRefs>
    <ds:schemaRef ds:uri="http://schemas.microsoft.com/office/2006/metadata/properties"/>
    <ds:schemaRef ds:uri="http://schemas.microsoft.com/office/infopath/2007/PartnerControls"/>
    <ds:schemaRef ds:uri="4af1275a-cb4c-49c2-9bc2-e178de864043"/>
    <ds:schemaRef ds:uri="056f089d-e763-4e69-b6fb-9c7b81eecc8d"/>
  </ds:schemaRefs>
</ds:datastoreItem>
</file>

<file path=customXml/itemProps3.xml><?xml version="1.0" encoding="utf-8"?>
<ds:datastoreItem xmlns:ds="http://schemas.openxmlformats.org/officeDocument/2006/customXml" ds:itemID="{8E39D991-ACE9-4D5B-9C72-4D3A63D931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vt:i4>
      </vt:variant>
    </vt:vector>
  </HeadingPairs>
  <TitlesOfParts>
    <vt:vector size="36" baseType="lpstr">
      <vt:lpstr>File Based_Phase 1</vt:lpstr>
      <vt:lpstr>LPBK</vt:lpstr>
      <vt:lpstr>DL</vt:lpstr>
      <vt:lpstr>UL</vt:lpstr>
      <vt:lpstr>oRAN-IP_BU</vt:lpstr>
      <vt:lpstr>oRAN-IP</vt:lpstr>
      <vt:lpstr>PRACH</vt:lpstr>
      <vt:lpstr>PRACH Antenna MUX</vt:lpstr>
      <vt:lpstr>UL Antenna MUX</vt:lpstr>
      <vt:lpstr>Uplink Arbiter</vt:lpstr>
      <vt:lpstr>cu-plane-coupling_100MHz</vt:lpstr>
      <vt:lpstr>Milestone1 simulation</vt:lpstr>
      <vt:lpstr>System_Simulation</vt:lpstr>
      <vt:lpstr>PRACH_Simulation</vt:lpstr>
      <vt:lpstr>FH_IP_Connectivity</vt:lpstr>
      <vt:lpstr>Injection_Simulation</vt:lpstr>
      <vt:lpstr>Power_Meter Standalone</vt:lpstr>
      <vt:lpstr>Full_scale_compression</vt:lpstr>
      <vt:lpstr>PRACH_Short_format</vt:lpstr>
      <vt:lpstr>Feature_validation</vt:lpstr>
      <vt:lpstr>SIM Testvectors</vt:lpstr>
      <vt:lpstr>List of Features</vt:lpstr>
      <vt:lpstr>HW_Validation</vt:lpstr>
      <vt:lpstr>Feature_validation (2)</vt:lpstr>
      <vt:lpstr>test_vector_list</vt:lpstr>
      <vt:lpstr>IFFT-FFT Standalone simulation</vt:lpstr>
      <vt:lpstr>DUC Standalone simulation</vt:lpstr>
      <vt:lpstr>DDC Standalone simulation</vt:lpstr>
      <vt:lpstr>PRACH Standalone simulation</vt:lpstr>
      <vt:lpstr>cu-coupling_100MHz_9000</vt:lpstr>
      <vt:lpstr>cu-coupling_60MHz_9000</vt:lpstr>
      <vt:lpstr>cu-coupling_100MHz</vt:lpstr>
      <vt:lpstr>cu-coupling_60MHz</vt:lpstr>
      <vt:lpstr>CU Plane Coupling - Use_cases</vt:lpstr>
      <vt:lpstr>HW Testvectors</vt:lpstr>
      <vt:lpstr>'File Based_Phase 1'!_Toc135226754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Arshad Mohammed M A</dc:creator>
  <cp:keywords/>
  <dc:description/>
  <cp:lastModifiedBy>Preethika S</cp:lastModifiedBy>
  <cp:revision/>
  <dcterms:created xsi:type="dcterms:W3CDTF">2015-06-05T18:17:20Z</dcterms:created>
  <dcterms:modified xsi:type="dcterms:W3CDTF">2025-05-22T17:55:20Z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0x0101001B12EF189E653C449E6CA9D37DBEAB2D</vt:lpwstr>
  </property>
  <property fmtid="{D5CDD505-2E9C-101B-9397-08002B2CF9AE}" pid="3" name="MediaServiceImageTags">
    <vt:lpwstr/>
  </property>
  <property fmtid="{D5CDD505-2E9C-101B-9397-08002B2CF9AE}" pid="4" name="MSIP_Label_6a19be41-f3f8-4bff-a5cd-09153d43afda_ContentBits">
    <vt:lpwstr>0</vt:lpwstr>
  </property>
  <property fmtid="{D5CDD505-2E9C-101B-9397-08002B2CF9AE}" pid="5" name="MSIP_Label_6a19be41-f3f8-4bff-a5cd-09153d43afda_Name">
    <vt:lpwstr>Internal</vt:lpwstr>
  </property>
  <property fmtid="{D5CDD505-2E9C-101B-9397-08002B2CF9AE}" pid="6" name="MSIP_Label_6a19be41-f3f8-4bff-a5cd-09153d43afda_ActionId">
    <vt:lpwstr>a11fbbd4-f74d-4833-9eb9-96ab90e0a4d8</vt:lpwstr>
  </property>
  <property fmtid="{D5CDD505-2E9C-101B-9397-08002B2CF9AE}" pid="7" name="MSIP_Label_6a19be41-f3f8-4bff-a5cd-09153d43afda_Enabled">
    <vt:lpwstr>true</vt:lpwstr>
  </property>
  <property fmtid="{D5CDD505-2E9C-101B-9397-08002B2CF9AE}" pid="8" name="MSIP_Label_6a19be41-f3f8-4bff-a5cd-09153d43afda_Tag">
    <vt:lpwstr>10, 3, 0, 2</vt:lpwstr>
  </property>
  <property fmtid="{D5CDD505-2E9C-101B-9397-08002B2CF9AE}" pid="9" name="MSIP_Label_6a19be41-f3f8-4bff-a5cd-09153d43afda_SiteId">
    <vt:lpwstr>fbd72e03-d4a5-4110-adce-614d51f2077a</vt:lpwstr>
  </property>
  <property fmtid="{D5CDD505-2E9C-101B-9397-08002B2CF9AE}" pid="10" name="MSIP_Label_6a19be41-f3f8-4bff-a5cd-09153d43afda_Method">
    <vt:lpwstr>Standard</vt:lpwstr>
  </property>
  <property fmtid="{D5CDD505-2E9C-101B-9397-08002B2CF9AE}" pid="11" name="MSIP_Label_6a19be41-f3f8-4bff-a5cd-09153d43afda_SetDate">
    <vt:lpwstr>2025-04-01T13:34:10Z</vt:lpwstr>
  </property>
</Properties>
</file>