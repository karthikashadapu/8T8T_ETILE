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gcatwireless.sharepoint.com/sites/IN-SR-RF/Shared Documents/Development/Gen3/"/>
    </mc:Choice>
  </mc:AlternateContent>
  <xr:revisionPtr revIDLastSave="120" documentId="8_{6378A6D1-6C4D-4768-8AFE-BE1BFB4F9823}" xr6:coauthVersionLast="47" xr6:coauthVersionMax="47" xr10:uidLastSave="{E6F728C1-E00D-4587-9DEA-42CB9224C97D}"/>
  <bookViews>
    <workbookView xWindow="-120" yWindow="-120" windowWidth="29040" windowHeight="15840" tabRatio="603" xr2:uid="{98A15959-BFD6-44F5-8FE3-D11A028762F5}"/>
  </bookViews>
  <sheets>
    <sheet name="1CC_4T4R " sheetId="1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9" l="1"/>
  <c r="H44" i="19"/>
  <c r="H42" i="19"/>
  <c r="L42" i="19" s="1"/>
  <c r="H40" i="19"/>
  <c r="K42" i="19"/>
  <c r="J42" i="19"/>
  <c r="I42" i="19"/>
  <c r="E46" i="19"/>
  <c r="F42" i="19"/>
  <c r="E42" i="19"/>
  <c r="F40" i="19"/>
  <c r="E40" i="19"/>
  <c r="F13" i="19"/>
  <c r="E13" i="19"/>
  <c r="E27" i="19"/>
  <c r="E16" i="19"/>
  <c r="K49" i="19"/>
  <c r="J49" i="19"/>
  <c r="I49" i="19"/>
  <c r="L9" i="19" l="1"/>
  <c r="K9" i="19"/>
  <c r="J9" i="19"/>
  <c r="I9" i="19"/>
  <c r="L8" i="19"/>
  <c r="K8" i="19"/>
  <c r="J8" i="19"/>
  <c r="I8" i="19"/>
  <c r="L22" i="19"/>
  <c r="L26" i="19"/>
  <c r="L25" i="19"/>
  <c r="L19" i="19"/>
  <c r="L16" i="19"/>
  <c r="K22" i="19" l="1"/>
  <c r="J22" i="19"/>
  <c r="I22" i="19"/>
  <c r="K19" i="19"/>
  <c r="I19" i="19"/>
  <c r="J19" i="19"/>
  <c r="K26" i="19"/>
  <c r="J26" i="19"/>
  <c r="I26" i="19"/>
  <c r="K25" i="19"/>
  <c r="J25" i="19"/>
  <c r="I25" i="19"/>
  <c r="I16" i="19"/>
  <c r="K16" i="19"/>
  <c r="J16" i="19"/>
  <c r="L3" i="19"/>
  <c r="L31" i="19"/>
  <c r="L32" i="19"/>
  <c r="L33" i="19"/>
  <c r="L34" i="19"/>
  <c r="L35" i="19"/>
  <c r="L36" i="19"/>
  <c r="L37" i="19"/>
  <c r="I45" i="19" l="1"/>
  <c r="I44" i="19"/>
  <c r="J45" i="19"/>
  <c r="K45" i="19"/>
  <c r="L45" i="19"/>
  <c r="J44" i="19"/>
  <c r="K44" i="19"/>
  <c r="L44" i="19"/>
  <c r="I43" i="19"/>
  <c r="J43" i="19"/>
  <c r="K43" i="19"/>
  <c r="L43" i="19"/>
  <c r="I46" i="19"/>
  <c r="J46" i="19"/>
  <c r="K46" i="19"/>
  <c r="L46" i="19"/>
  <c r="H47" i="19"/>
  <c r="I13" i="19"/>
  <c r="J13" i="19"/>
  <c r="K13" i="19"/>
  <c r="L13" i="19"/>
  <c r="G47" i="19"/>
  <c r="E47" i="19"/>
  <c r="D47" i="19"/>
  <c r="F47" i="19"/>
  <c r="L12" i="19"/>
  <c r="K12" i="19"/>
  <c r="J12" i="19"/>
  <c r="I12" i="19"/>
  <c r="L4" i="19"/>
  <c r="K4" i="19"/>
  <c r="J4" i="19"/>
  <c r="I4" i="19"/>
  <c r="K36" i="19"/>
  <c r="J36" i="19"/>
  <c r="I36" i="19"/>
  <c r="K31" i="19"/>
  <c r="J31" i="19"/>
  <c r="I31" i="19"/>
  <c r="I39" i="19"/>
  <c r="K35" i="19"/>
  <c r="J35" i="19"/>
  <c r="I35" i="19"/>
  <c r="K34" i="19"/>
  <c r="J34" i="19"/>
  <c r="I34" i="19"/>
  <c r="I29" i="19"/>
  <c r="J29" i="19"/>
  <c r="K29" i="19"/>
  <c r="L29" i="19"/>
  <c r="I30" i="19"/>
  <c r="J30" i="19"/>
  <c r="K30" i="19"/>
  <c r="L30" i="19"/>
  <c r="I32" i="19"/>
  <c r="J32" i="19"/>
  <c r="K32" i="19"/>
  <c r="I33" i="19"/>
  <c r="J33" i="19"/>
  <c r="K33" i="19"/>
  <c r="L5" i="19"/>
  <c r="L15" i="19"/>
  <c r="L41" i="19"/>
  <c r="I5" i="19"/>
  <c r="J5" i="19"/>
  <c r="K5" i="19"/>
  <c r="I6" i="19"/>
  <c r="J6" i="19"/>
  <c r="K6" i="19"/>
  <c r="I7" i="19"/>
  <c r="J7" i="19"/>
  <c r="K7" i="19"/>
  <c r="I15" i="19"/>
  <c r="I18" i="19"/>
  <c r="I24" i="19"/>
  <c r="K28" i="19"/>
  <c r="I40" i="19"/>
  <c r="J40" i="19"/>
  <c r="I41" i="19"/>
  <c r="J41" i="19"/>
  <c r="K41" i="19"/>
  <c r="J3" i="19"/>
  <c r="I3" i="19"/>
  <c r="L40" i="19"/>
  <c r="L39" i="19"/>
  <c r="L38" i="19"/>
  <c r="L28" i="19"/>
  <c r="L27" i="19"/>
  <c r="L24" i="19"/>
  <c r="L23" i="19"/>
  <c r="L21" i="19"/>
  <c r="L20" i="19"/>
  <c r="L18" i="19"/>
  <c r="L17" i="19"/>
  <c r="L14" i="19"/>
  <c r="L11" i="19"/>
  <c r="L10" i="19"/>
  <c r="L7" i="19"/>
  <c r="L6" i="19"/>
  <c r="J28" i="19"/>
  <c r="I38" i="19"/>
  <c r="I37" i="19"/>
  <c r="I28" i="19"/>
  <c r="I27" i="19"/>
  <c r="I23" i="19"/>
  <c r="I21" i="19"/>
  <c r="I20" i="19"/>
  <c r="I17" i="19"/>
  <c r="I14" i="19"/>
  <c r="I11" i="19"/>
  <c r="I10" i="19"/>
  <c r="K40" i="19"/>
  <c r="K39" i="19"/>
  <c r="J39" i="19"/>
  <c r="K38" i="19"/>
  <c r="J38" i="19"/>
  <c r="K37" i="19"/>
  <c r="J37" i="19"/>
  <c r="K27" i="19"/>
  <c r="J27" i="19"/>
  <c r="K24" i="19"/>
  <c r="J24" i="19"/>
  <c r="K23" i="19"/>
  <c r="J23" i="19"/>
  <c r="K21" i="19"/>
  <c r="J21" i="19"/>
  <c r="K20" i="19"/>
  <c r="J20" i="19"/>
  <c r="K18" i="19"/>
  <c r="J18" i="19"/>
  <c r="K17" i="19"/>
  <c r="J17" i="19"/>
  <c r="K15" i="19"/>
  <c r="J15" i="19"/>
  <c r="K14" i="19"/>
  <c r="J14" i="19"/>
  <c r="K11" i="19"/>
  <c r="J11" i="19"/>
  <c r="K10" i="19"/>
  <c r="J10" i="19"/>
  <c r="K3" i="19"/>
  <c r="L47" i="19" l="1"/>
  <c r="I47" i="19"/>
  <c r="J47" i="19"/>
  <c r="J50" i="19" s="1"/>
  <c r="K47" i="19"/>
  <c r="K50" i="19" l="1"/>
  <c r="G50" i="19"/>
  <c r="I50" i="19"/>
  <c r="E50" i="19"/>
  <c r="G49" i="19"/>
  <c r="E49" i="19"/>
  <c r="F50" i="19"/>
  <c r="F49" i="19"/>
</calcChain>
</file>

<file path=xl/sharedStrings.xml><?xml version="1.0" encoding="utf-8"?>
<sst xmlns="http://schemas.openxmlformats.org/spreadsheetml/2006/main" count="131" uniqueCount="111">
  <si>
    <t>Functional Blocks</t>
  </si>
  <si>
    <t>Module</t>
  </si>
  <si>
    <t>Features</t>
  </si>
  <si>
    <t>Instance</t>
  </si>
  <si>
    <t>ALMs</t>
  </si>
  <si>
    <t>M20Ks</t>
  </si>
  <si>
    <t>DSPs</t>
  </si>
  <si>
    <t>External Interfaces</t>
  </si>
  <si>
    <t>JESD204C</t>
  </si>
  <si>
    <t>Synchronization</t>
  </si>
  <si>
    <t>1588 DMA Subsystem</t>
  </si>
  <si>
    <t>DMA subsystem: Tx/Rx DMA</t>
  </si>
  <si>
    <t>ToD Subsystem</t>
  </si>
  <si>
    <t>ToD Subsys: Master ToD, Tx/Rx ToD subsys</t>
  </si>
  <si>
    <t>Transport Layer</t>
  </si>
  <si>
    <t>eCPRI</t>
  </si>
  <si>
    <t>ORAN</t>
  </si>
  <si>
    <t>BFP Compression, section Type 0,1,3 , section extension type 1-11</t>
  </si>
  <si>
    <t>Uplink Arbiter</t>
  </si>
  <si>
    <t>Arbitrate b/w PUSCH,PRACH and SRS packets</t>
  </si>
  <si>
    <t>Frame Delay Variation</t>
  </si>
  <si>
    <t>FDV Buffer (2*8LL, 40km)</t>
  </si>
  <si>
    <t>To Support Front delay time</t>
  </si>
  <si>
    <t>iFFT (1 iFFT/4 AxC)</t>
  </si>
  <si>
    <t>Variable iFFT - one instance handles 4 AxCs</t>
  </si>
  <si>
    <t xml:space="preserve">Block2stream  </t>
  </si>
  <si>
    <t>Symbol to sample converter + CP Addition - one instance handles 4 AxCs</t>
  </si>
  <si>
    <t>Time Domain Stream to Freq Domain Block</t>
  </si>
  <si>
    <t xml:space="preserve">FFT </t>
  </si>
  <si>
    <t>Variable FFT - one instance handles 4 AxCs</t>
  </si>
  <si>
    <t xml:space="preserve">Stream2block  </t>
  </si>
  <si>
    <t>Sample to Symbol converter + CP Removal - one instance handles 4 AxCs</t>
  </si>
  <si>
    <t>Phase Compensation</t>
  </si>
  <si>
    <t>Down Link</t>
  </si>
  <si>
    <t>Phase Compensation before iFFT in DL</t>
  </si>
  <si>
    <t>Up Link</t>
  </si>
  <si>
    <t>Phase Compensation after FFT in UL</t>
  </si>
  <si>
    <t>PRACH</t>
  </si>
  <si>
    <t>PRACH config IP, prach pattern buffer</t>
  </si>
  <si>
    <t>Long Preamble Format, 1.25 KHz SCS. 1 Instance per 4 streams</t>
  </si>
  <si>
    <t>PUSCH and PRACH Coupling</t>
  </si>
  <si>
    <t>UL C plane headers are mapped to UL U Plane Headers</t>
  </si>
  <si>
    <t>-</t>
  </si>
  <si>
    <t>Conversions</t>
  </si>
  <si>
    <t>HPS subsystem</t>
  </si>
  <si>
    <t>Qsys Interconnect</t>
  </si>
  <si>
    <t>% Utilization : Agilex</t>
  </si>
  <si>
    <t>AGF008</t>
  </si>
  <si>
    <t>Power Analyzer Summary</t>
  </si>
  <si>
    <t>Toggle Rate</t>
  </si>
  <si>
    <t>Junction Temperature</t>
  </si>
  <si>
    <t>100°C</t>
  </si>
  <si>
    <t>Cumulative Dynamic On-Chip Power (W)</t>
  </si>
  <si>
    <t>Fitter Summary</t>
  </si>
  <si>
    <t>1C4TR-100MHz Utilization</t>
  </si>
  <si>
    <t>AGFB027</t>
  </si>
  <si>
    <t>A5ED065</t>
  </si>
  <si>
    <t>Resource Availability</t>
  </si>
  <si>
    <t>Device</t>
  </si>
  <si>
    <t>ALM</t>
  </si>
  <si>
    <t>M20</t>
  </si>
  <si>
    <t>DSP</t>
  </si>
  <si>
    <t>dfd subsystem</t>
  </si>
  <si>
    <t>PLL</t>
  </si>
  <si>
    <t>fs 491.52 to 983 conversion</t>
  </si>
  <si>
    <t>4 ch NCO</t>
  </si>
  <si>
    <t>DL Mixer</t>
  </si>
  <si>
    <t>DL Ch filter</t>
  </si>
  <si>
    <t>DL Interpolator</t>
  </si>
  <si>
    <t>UL Mixer</t>
  </si>
  <si>
    <t>UL Ch filter</t>
  </si>
  <si>
    <t>DL decimator</t>
  </si>
  <si>
    <t>983 to 491.52 conversion</t>
  </si>
  <si>
    <t>Per instance</t>
  </si>
  <si>
    <t>For Multiple instance</t>
  </si>
  <si>
    <t>hssi</t>
  </si>
  <si>
    <t>fs 122.88 to 245.76 conversion</t>
  </si>
  <si>
    <t>fs 245.76 to 491.52 conversion</t>
  </si>
  <si>
    <t>DUC HB1</t>
  </si>
  <si>
    <t>DUC HB2</t>
  </si>
  <si>
    <t>DDC HB1</t>
  </si>
  <si>
    <t>DDC HB2</t>
  </si>
  <si>
    <t>491.52 to 245.76 conversion</t>
  </si>
  <si>
    <t>245.76 to 122.88 conversion</t>
  </si>
  <si>
    <t>311 taps FIR</t>
  </si>
  <si>
    <t>others</t>
  </si>
  <si>
    <t>Data Flow identification based VLAN/MAC Addr , QoS, Msg type 0,2,5 +timing adaptor+fifo</t>
  </si>
  <si>
    <t>ecpri bridge</t>
  </si>
  <si>
    <t>avst_axi_bridge+additional logic</t>
  </si>
  <si>
    <t xml:space="preserve">Freq domain block to time domain stream </t>
  </si>
  <si>
    <t>top module</t>
  </si>
  <si>
    <t>global resource</t>
  </si>
  <si>
    <t>hssi + tile</t>
  </si>
  <si>
    <t>mm interconnect+OCM</t>
  </si>
  <si>
    <t>ghrd_agf027_auto_tiles (+JESD tile)</t>
  </si>
  <si>
    <t xml:space="preserve"> JESD Instance handles 4 AxCs + IP </t>
  </si>
  <si>
    <t>Scheduler + DL blanking</t>
  </si>
  <si>
    <t>schedule with necessary idle clocks and blank the symbols which not received</t>
  </si>
  <si>
    <t>Power Meter</t>
  </si>
  <si>
    <t>In Time domain</t>
  </si>
  <si>
    <t>In Frequency domain</t>
  </si>
  <si>
    <t>Busfabric</t>
  </si>
  <si>
    <t>129 taps FIR</t>
  </si>
  <si>
    <t>default from GHRD (summation of all interconnects)+ lowphy bridge+jtg_mst</t>
  </si>
  <si>
    <t>SyncE</t>
  </si>
  <si>
    <t>rclk_div_mux , PLL_pio</t>
  </si>
  <si>
    <t>QoS</t>
  </si>
  <si>
    <t>L2/L3 parser</t>
  </si>
  <si>
    <t>data capture + Xran timestamp + statistics counter</t>
  </si>
  <si>
    <t>qsys_top</t>
  </si>
  <si>
    <t>CDC fifo for JESD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</si>
</sst>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77">
    <xf numFmtId="0" fontId="0" fillId="0" borderId="0" xfId="0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9" fontId="4" fillId="2" borderId="5" xfId="0" applyNumberFormat="1" applyFont="1" applyFill="1" applyBorder="1" applyAlignment="1">
      <alignment horizontal="center" vertical="center"/>
    </xf>
    <xf numFmtId="9" fontId="4" fillId="2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 applyAlignment="1">
      <alignment horizontal="left" vertical="center"/>
    </xf>
    <xf numFmtId="0" fontId="4" fillId="0" borderId="1" xfId="0" applyFont="1" applyBorder="1"/>
    <xf numFmtId="0" fontId="0" fillId="4" borderId="1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65" fontId="1" fillId="2" borderId="11" xfId="1" applyNumberFormat="1" applyFont="1" applyFill="1" applyBorder="1" applyAlignment="1">
      <alignment horizontal="center" vertical="center"/>
    </xf>
    <xf numFmtId="165" fontId="2" fillId="5" borderId="11" xfId="1" applyNumberFormat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/>
    </xf>
    <xf numFmtId="0" fontId="5" fillId="9" borderId="9" xfId="0" applyFont="1" applyFill="1" applyBorder="1" applyAlignment="1">
      <alignment horizontal="left" vertical="center"/>
    </xf>
    <xf numFmtId="0" fontId="1" fillId="2" borderId="10" xfId="1" applyNumberFormat="1" applyFont="1" applyFill="1" applyBorder="1" applyAlignment="1">
      <alignment horizontal="center" vertical="center"/>
    </xf>
    <xf numFmtId="0" fontId="1" fillId="2" borderId="5" xfId="1" applyNumberFormat="1" applyFont="1" applyFill="1" applyBorder="1" applyAlignment="1">
      <alignment horizontal="center" vertical="center"/>
    </xf>
    <xf numFmtId="0" fontId="1" fillId="2" borderId="13" xfId="1" applyNumberFormat="1" applyFont="1" applyFill="1" applyBorder="1" applyAlignment="1">
      <alignment horizontal="center" vertical="center"/>
    </xf>
    <xf numFmtId="0" fontId="1" fillId="2" borderId="19" xfId="1" applyNumberFormat="1" applyFont="1" applyFill="1" applyBorder="1" applyAlignment="1">
      <alignment horizontal="center" vertical="center"/>
    </xf>
    <xf numFmtId="0" fontId="2" fillId="5" borderId="5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/>
    </xf>
    <xf numFmtId="0" fontId="1" fillId="2" borderId="6" xfId="1" applyNumberFormat="1" applyFont="1" applyFill="1" applyBorder="1" applyAlignment="1">
      <alignment horizontal="center" vertical="center"/>
    </xf>
    <xf numFmtId="0" fontId="2" fillId="5" borderId="6" xfId="1" applyNumberFormat="1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0" fontId="9" fillId="10" borderId="0" xfId="0" applyFont="1" applyFill="1"/>
    <xf numFmtId="0" fontId="7" fillId="3" borderId="1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1" fillId="2" borderId="12" xfId="1" applyNumberFormat="1" applyFont="1" applyFill="1" applyBorder="1" applyAlignment="1">
      <alignment horizontal="center" vertical="center"/>
    </xf>
    <xf numFmtId="165" fontId="1" fillId="2" borderId="22" xfId="1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4" borderId="15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1916206</xdr:colOff>
      <xdr:row>52</xdr:row>
      <xdr:rowOff>145676</xdr:rowOff>
    </xdr:from>
    <xdr:to>
      <xdr:col>3</xdr:col>
      <xdr:colOff>3683</xdr:colOff>
      <xdr:row>70</xdr:row>
      <xdr:rowOff>22411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9E218-C945-7D04-C59B-0B0950646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588" y="10376647"/>
          <a:ext cx="4049007" cy="330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582706</xdr:colOff>
      <xdr:row>55</xdr:row>
      <xdr:rowOff>89649</xdr:rowOff>
    </xdr:from>
    <xdr:to>
      <xdr:col>8</xdr:col>
      <xdr:colOff>920683</xdr:colOff>
      <xdr:row>70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5013CD-829A-F3EA-BD20-C46A2770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7618" y="10892120"/>
          <a:ext cx="4629830" cy="2779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11207</xdr:colOff>
      <xdr:row>71</xdr:row>
      <xdr:rowOff>168087</xdr:rowOff>
    </xdr:from>
    <xdr:to>
      <xdr:col>8</xdr:col>
      <xdr:colOff>918882</xdr:colOff>
      <xdr:row>88</xdr:row>
      <xdr:rowOff>166600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0E6E81-708E-5634-CBF7-A00F06E9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1" y="14018558"/>
          <a:ext cx="9233646" cy="3237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B47F-50F6-43DC-87D6-5DFD2FC8AA9A}">
  <dimension ref="A1:S55"/>
  <sheetViews>
    <sheetView tabSelected="1" zoomScale="80" zoomScaleNormal="80" workbookViewId="0">
      <selection activeCell="H47" sqref="H47"/>
    </sheetView>
  </sheetViews>
  <sheetFormatPr defaultColWidth="8.85546875" defaultRowHeight="15" x14ac:dyDescent="0.25"/>
  <cols>
    <col min="1" max="1" width="39.42578125" bestFit="1" customWidth="1"/>
    <col min="2" max="2" width="28.85546875" customWidth="1"/>
    <col min="3" max="3" width="60.5703125" customWidth="1"/>
    <col min="4" max="4" width="8.85546875" bestFit="1" customWidth="1"/>
    <col min="5" max="5" width="11.140625" bestFit="1" customWidth="1"/>
    <col min="6" max="6" width="14.42578125" customWidth="1"/>
    <col min="7" max="7" width="10.140625" customWidth="1"/>
    <col min="8" max="12" width="19.85546875" customWidth="1"/>
    <col min="17" max="17" width="19.85546875" bestFit="1" customWidth="1"/>
  </cols>
  <sheetData>
    <row r="1" spans="1:19" s="52" customFormat="1" ht="21.75" thickBot="1" x14ac:dyDescent="0.4">
      <c r="E1" s="57" t="s">
        <v>73</v>
      </c>
      <c r="F1" s="57"/>
      <c r="G1" s="57"/>
      <c r="H1" s="57"/>
      <c r="I1" s="57" t="s">
        <v>74</v>
      </c>
      <c r="J1" s="57"/>
      <c r="K1" s="57"/>
      <c r="L1" s="57"/>
    </row>
    <row r="2" spans="1:19" ht="47.25" x14ac:dyDescent="0.25">
      <c r="A2" s="1" t="s">
        <v>0</v>
      </c>
      <c r="B2" s="2" t="s">
        <v>1</v>
      </c>
      <c r="C2" s="2" t="s">
        <v>2</v>
      </c>
      <c r="D2" s="3" t="s">
        <v>3</v>
      </c>
      <c r="E2" s="53" t="s">
        <v>4</v>
      </c>
      <c r="F2" s="53" t="s">
        <v>5</v>
      </c>
      <c r="G2" s="54" t="s">
        <v>6</v>
      </c>
      <c r="H2" s="18" t="s">
        <v>52</v>
      </c>
      <c r="I2" s="53" t="s">
        <v>4</v>
      </c>
      <c r="J2" s="53" t="s">
        <v>5</v>
      </c>
      <c r="K2" s="54" t="s">
        <v>6</v>
      </c>
      <c r="L2" s="18" t="s">
        <v>52</v>
      </c>
    </row>
    <row r="3" spans="1:19" x14ac:dyDescent="0.25">
      <c r="A3" s="65" t="s">
        <v>7</v>
      </c>
      <c r="B3" s="58" t="s">
        <v>92</v>
      </c>
      <c r="C3" s="28" t="s">
        <v>75</v>
      </c>
      <c r="D3" s="41">
        <v>1</v>
      </c>
      <c r="E3" s="41">
        <v>7645</v>
      </c>
      <c r="F3" s="41">
        <v>68</v>
      </c>
      <c r="G3" s="49">
        <v>0</v>
      </c>
      <c r="H3" s="30">
        <v>0.114</v>
      </c>
      <c r="I3" s="47">
        <f t="shared" ref="I3:I46" si="0">D3*E3</f>
        <v>7645</v>
      </c>
      <c r="J3" s="33">
        <f t="shared" ref="J3:J46" si="1">D3*F3</f>
        <v>68</v>
      </c>
      <c r="K3" s="33">
        <f t="shared" ref="K3:K46" si="2">D3*G3</f>
        <v>0</v>
      </c>
      <c r="L3" s="32">
        <f t="shared" ref="L3:L46" si="3">D3*H3</f>
        <v>0.114</v>
      </c>
      <c r="Q3" s="24" t="s">
        <v>57</v>
      </c>
    </row>
    <row r="4" spans="1:19" x14ac:dyDescent="0.25">
      <c r="A4" s="65"/>
      <c r="B4" s="59"/>
      <c r="C4" s="28" t="s">
        <v>94</v>
      </c>
      <c r="D4" s="42">
        <v>1</v>
      </c>
      <c r="E4" s="42">
        <v>8404</v>
      </c>
      <c r="F4" s="42">
        <v>10</v>
      </c>
      <c r="G4" s="49">
        <v>0</v>
      </c>
      <c r="H4" s="30">
        <v>5.6360000000000001</v>
      </c>
      <c r="I4" s="47">
        <f t="shared" si="0"/>
        <v>8404</v>
      </c>
      <c r="J4" s="33">
        <f t="shared" si="1"/>
        <v>10</v>
      </c>
      <c r="K4" s="33">
        <f t="shared" si="2"/>
        <v>0</v>
      </c>
      <c r="L4" s="32">
        <f t="shared" si="3"/>
        <v>5.6360000000000001</v>
      </c>
    </row>
    <row r="5" spans="1:19" x14ac:dyDescent="0.25">
      <c r="A5" s="65"/>
      <c r="B5" s="4" t="s">
        <v>8</v>
      </c>
      <c r="C5" s="28" t="s">
        <v>95</v>
      </c>
      <c r="D5" s="47">
        <v>1</v>
      </c>
      <c r="E5" s="47">
        <v>15507</v>
      </c>
      <c r="F5" s="47">
        <v>64</v>
      </c>
      <c r="G5" s="55">
        <v>0</v>
      </c>
      <c r="H5" s="30">
        <v>0.13</v>
      </c>
      <c r="I5" s="47">
        <f t="shared" si="0"/>
        <v>15507</v>
      </c>
      <c r="J5" s="33">
        <f t="shared" si="1"/>
        <v>64</v>
      </c>
      <c r="K5" s="33">
        <f t="shared" si="2"/>
        <v>0</v>
      </c>
      <c r="L5" s="32">
        <f t="shared" si="3"/>
        <v>0.13</v>
      </c>
    </row>
    <row r="6" spans="1:19" x14ac:dyDescent="0.25">
      <c r="A6" s="73" t="s">
        <v>9</v>
      </c>
      <c r="B6" s="4" t="s">
        <v>10</v>
      </c>
      <c r="C6" s="28" t="s">
        <v>11</v>
      </c>
      <c r="D6" s="43">
        <v>1</v>
      </c>
      <c r="E6" s="43">
        <v>12770</v>
      </c>
      <c r="F6" s="43">
        <v>182</v>
      </c>
      <c r="G6" s="49">
        <v>0</v>
      </c>
      <c r="H6" s="30">
        <v>0.39200000000000002</v>
      </c>
      <c r="I6" s="47">
        <f t="shared" si="0"/>
        <v>12770</v>
      </c>
      <c r="J6" s="33">
        <f t="shared" si="1"/>
        <v>182</v>
      </c>
      <c r="K6" s="33">
        <f t="shared" si="2"/>
        <v>0</v>
      </c>
      <c r="L6" s="32">
        <f t="shared" si="3"/>
        <v>0.39200000000000002</v>
      </c>
      <c r="P6" s="21" t="s">
        <v>58</v>
      </c>
      <c r="Q6" s="21" t="s">
        <v>59</v>
      </c>
      <c r="R6" s="21" t="s">
        <v>60</v>
      </c>
      <c r="S6" s="21" t="s">
        <v>61</v>
      </c>
    </row>
    <row r="7" spans="1:19" x14ac:dyDescent="0.25">
      <c r="A7" s="74"/>
      <c r="B7" s="4" t="s">
        <v>12</v>
      </c>
      <c r="C7" s="28" t="s">
        <v>13</v>
      </c>
      <c r="D7" s="42">
        <v>1</v>
      </c>
      <c r="E7" s="42">
        <v>4452</v>
      </c>
      <c r="F7" s="42">
        <v>1</v>
      </c>
      <c r="G7" s="49">
        <v>4</v>
      </c>
      <c r="H7" s="30">
        <v>0.1</v>
      </c>
      <c r="I7" s="47">
        <f t="shared" si="0"/>
        <v>4452</v>
      </c>
      <c r="J7" s="33">
        <f t="shared" si="1"/>
        <v>1</v>
      </c>
      <c r="K7" s="33">
        <f t="shared" si="2"/>
        <v>4</v>
      </c>
      <c r="L7" s="32">
        <f t="shared" si="3"/>
        <v>0.1</v>
      </c>
      <c r="P7" s="19" t="s">
        <v>47</v>
      </c>
      <c r="Q7" s="19">
        <v>259200</v>
      </c>
      <c r="R7" s="19">
        <v>3792</v>
      </c>
      <c r="S7" s="19">
        <v>2296</v>
      </c>
    </row>
    <row r="8" spans="1:19" x14ac:dyDescent="0.25">
      <c r="A8" s="75"/>
      <c r="B8" s="4" t="s">
        <v>104</v>
      </c>
      <c r="C8" s="28" t="s">
        <v>105</v>
      </c>
      <c r="D8" s="42">
        <v>1</v>
      </c>
      <c r="E8" s="42">
        <v>0</v>
      </c>
      <c r="F8" s="42">
        <v>0</v>
      </c>
      <c r="G8" s="49">
        <v>0</v>
      </c>
      <c r="H8" s="30">
        <v>0</v>
      </c>
      <c r="I8" s="47">
        <f t="shared" si="0"/>
        <v>0</v>
      </c>
      <c r="J8" s="33">
        <f t="shared" si="1"/>
        <v>0</v>
      </c>
      <c r="K8" s="33">
        <f t="shared" si="2"/>
        <v>0</v>
      </c>
      <c r="L8" s="32">
        <f t="shared" si="3"/>
        <v>0</v>
      </c>
      <c r="P8" s="25" t="s">
        <v>55</v>
      </c>
      <c r="Q8" s="19">
        <v>912800</v>
      </c>
      <c r="R8" s="19">
        <v>13272</v>
      </c>
      <c r="S8" s="19">
        <v>8528</v>
      </c>
    </row>
    <row r="9" spans="1:19" x14ac:dyDescent="0.25">
      <c r="A9" s="69" t="s">
        <v>14</v>
      </c>
      <c r="B9" s="4" t="s">
        <v>106</v>
      </c>
      <c r="C9" s="37" t="s">
        <v>107</v>
      </c>
      <c r="D9" s="42">
        <v>1</v>
      </c>
      <c r="E9" s="42">
        <v>0</v>
      </c>
      <c r="F9" s="42">
        <v>0</v>
      </c>
      <c r="G9" s="49">
        <v>0</v>
      </c>
      <c r="H9" s="30">
        <v>0</v>
      </c>
      <c r="I9" s="47">
        <f t="shared" si="0"/>
        <v>0</v>
      </c>
      <c r="J9" s="33">
        <f t="shared" si="1"/>
        <v>0</v>
      </c>
      <c r="K9" s="33">
        <f t="shared" si="2"/>
        <v>0</v>
      </c>
      <c r="L9" s="32">
        <f t="shared" si="3"/>
        <v>0</v>
      </c>
      <c r="P9" s="25" t="s">
        <v>56</v>
      </c>
      <c r="Q9" s="19">
        <v>222000</v>
      </c>
      <c r="R9" s="19">
        <v>1611</v>
      </c>
      <c r="S9" s="19">
        <v>846</v>
      </c>
    </row>
    <row r="10" spans="1:19" x14ac:dyDescent="0.25">
      <c r="A10" s="76"/>
      <c r="B10" s="4" t="s">
        <v>15</v>
      </c>
      <c r="C10" s="37" t="s">
        <v>86</v>
      </c>
      <c r="D10" s="42">
        <v>1</v>
      </c>
      <c r="E10" s="42">
        <v>5719</v>
      </c>
      <c r="F10" s="42">
        <v>37</v>
      </c>
      <c r="G10" s="49">
        <v>0</v>
      </c>
      <c r="H10" s="30">
        <v>0.187</v>
      </c>
      <c r="I10" s="47">
        <f t="shared" si="0"/>
        <v>5719</v>
      </c>
      <c r="J10" s="33">
        <f t="shared" si="1"/>
        <v>37</v>
      </c>
      <c r="K10" s="33">
        <f t="shared" si="2"/>
        <v>0</v>
      </c>
      <c r="L10" s="32">
        <f t="shared" si="3"/>
        <v>0.187</v>
      </c>
    </row>
    <row r="11" spans="1:19" x14ac:dyDescent="0.25">
      <c r="A11" s="76"/>
      <c r="B11" s="4" t="s">
        <v>16</v>
      </c>
      <c r="C11" s="37" t="s">
        <v>17</v>
      </c>
      <c r="D11" s="42">
        <v>1</v>
      </c>
      <c r="E11" s="42">
        <v>30446</v>
      </c>
      <c r="F11" s="42">
        <v>51</v>
      </c>
      <c r="G11" s="49">
        <v>12</v>
      </c>
      <c r="H11" s="30">
        <v>0.879</v>
      </c>
      <c r="I11" s="47">
        <f t="shared" si="0"/>
        <v>30446</v>
      </c>
      <c r="J11" s="33">
        <f t="shared" si="1"/>
        <v>51</v>
      </c>
      <c r="K11" s="33">
        <f t="shared" si="2"/>
        <v>12</v>
      </c>
      <c r="L11" s="32">
        <f t="shared" si="3"/>
        <v>0.879</v>
      </c>
    </row>
    <row r="12" spans="1:19" x14ac:dyDescent="0.25">
      <c r="A12" s="76"/>
      <c r="B12" s="15" t="s">
        <v>40</v>
      </c>
      <c r="C12" s="37" t="s">
        <v>41</v>
      </c>
      <c r="D12" s="42">
        <v>1</v>
      </c>
      <c r="E12" s="42">
        <v>14230</v>
      </c>
      <c r="F12" s="42">
        <v>305</v>
      </c>
      <c r="G12" s="49">
        <v>0</v>
      </c>
      <c r="H12" s="30">
        <v>0.77400000000000002</v>
      </c>
      <c r="I12" s="47">
        <f t="shared" si="0"/>
        <v>14230</v>
      </c>
      <c r="J12" s="33">
        <f t="shared" si="1"/>
        <v>305</v>
      </c>
      <c r="K12" s="33">
        <f t="shared" si="2"/>
        <v>0</v>
      </c>
      <c r="L12" s="32">
        <f t="shared" si="3"/>
        <v>0.77400000000000002</v>
      </c>
    </row>
    <row r="13" spans="1:19" x14ac:dyDescent="0.25">
      <c r="A13" s="76"/>
      <c r="B13" s="15" t="s">
        <v>87</v>
      </c>
      <c r="C13" s="37" t="s">
        <v>88</v>
      </c>
      <c r="D13" s="42">
        <v>1</v>
      </c>
      <c r="E13" s="42">
        <f>156+56+62+96+67+62+77+122+587</f>
        <v>1285</v>
      </c>
      <c r="F13" s="42">
        <f>8+3+10+14</f>
        <v>35</v>
      </c>
      <c r="G13" s="49">
        <v>0</v>
      </c>
      <c r="H13" s="56">
        <v>1.4999999999999999E-2</v>
      </c>
      <c r="I13" s="47">
        <f t="shared" si="0"/>
        <v>1285</v>
      </c>
      <c r="J13" s="33">
        <f t="shared" si="1"/>
        <v>35</v>
      </c>
      <c r="K13" s="33">
        <f t="shared" si="2"/>
        <v>0</v>
      </c>
      <c r="L13" s="32">
        <f t="shared" si="3"/>
        <v>1.4999999999999999E-2</v>
      </c>
    </row>
    <row r="14" spans="1:19" x14ac:dyDescent="0.25">
      <c r="A14" s="70"/>
      <c r="B14" s="4" t="s">
        <v>18</v>
      </c>
      <c r="C14" s="37" t="s">
        <v>19</v>
      </c>
      <c r="D14" s="42">
        <v>1</v>
      </c>
      <c r="E14" s="42">
        <v>446</v>
      </c>
      <c r="F14" s="42">
        <v>6</v>
      </c>
      <c r="G14" s="49">
        <v>0</v>
      </c>
      <c r="H14" s="30">
        <v>0.02</v>
      </c>
      <c r="I14" s="47">
        <f t="shared" si="0"/>
        <v>446</v>
      </c>
      <c r="J14" s="33">
        <f t="shared" si="1"/>
        <v>6</v>
      </c>
      <c r="K14" s="33">
        <f t="shared" si="2"/>
        <v>0</v>
      </c>
      <c r="L14" s="32">
        <f t="shared" si="3"/>
        <v>0.02</v>
      </c>
    </row>
    <row r="15" spans="1:19" x14ac:dyDescent="0.25">
      <c r="A15" s="69" t="s">
        <v>20</v>
      </c>
      <c r="B15" s="4" t="s">
        <v>21</v>
      </c>
      <c r="C15" s="38" t="s">
        <v>22</v>
      </c>
      <c r="D15" s="42">
        <v>1</v>
      </c>
      <c r="E15" s="42">
        <v>1904</v>
      </c>
      <c r="F15" s="42">
        <v>128</v>
      </c>
      <c r="G15" s="49">
        <v>0</v>
      </c>
      <c r="H15" s="30">
        <v>0.24199999999999999</v>
      </c>
      <c r="I15" s="47">
        <f t="shared" si="0"/>
        <v>1904</v>
      </c>
      <c r="J15" s="33">
        <f t="shared" si="1"/>
        <v>128</v>
      </c>
      <c r="K15" s="33">
        <f t="shared" si="2"/>
        <v>0</v>
      </c>
      <c r="L15" s="32">
        <f t="shared" si="3"/>
        <v>0.24199999999999999</v>
      </c>
    </row>
    <row r="16" spans="1:19" x14ac:dyDescent="0.25">
      <c r="A16" s="70"/>
      <c r="B16" s="4" t="s">
        <v>96</v>
      </c>
      <c r="C16" s="38" t="s">
        <v>97</v>
      </c>
      <c r="D16" s="42">
        <v>1</v>
      </c>
      <c r="E16" s="42">
        <f>315+108</f>
        <v>423</v>
      </c>
      <c r="F16" s="42">
        <v>4</v>
      </c>
      <c r="G16" s="49">
        <v>0</v>
      </c>
      <c r="H16" s="30">
        <v>1.4999999999999999E-2</v>
      </c>
      <c r="I16" s="47">
        <f t="shared" si="0"/>
        <v>423</v>
      </c>
      <c r="J16" s="33">
        <f t="shared" si="1"/>
        <v>4</v>
      </c>
      <c r="K16" s="33">
        <f t="shared" si="2"/>
        <v>0</v>
      </c>
      <c r="L16" s="32">
        <f t="shared" si="3"/>
        <v>1.4999999999999999E-2</v>
      </c>
    </row>
    <row r="17" spans="1:12" x14ac:dyDescent="0.25">
      <c r="A17" s="66" t="s">
        <v>89</v>
      </c>
      <c r="B17" s="4" t="s">
        <v>23</v>
      </c>
      <c r="C17" s="38" t="s">
        <v>24</v>
      </c>
      <c r="D17" s="42">
        <v>1</v>
      </c>
      <c r="E17" s="42">
        <v>2695</v>
      </c>
      <c r="F17" s="42">
        <v>36</v>
      </c>
      <c r="G17" s="49">
        <v>23</v>
      </c>
      <c r="H17" s="30">
        <v>0.19700000000000001</v>
      </c>
      <c r="I17" s="47">
        <f t="shared" si="0"/>
        <v>2695</v>
      </c>
      <c r="J17" s="33">
        <f t="shared" si="1"/>
        <v>36</v>
      </c>
      <c r="K17" s="33">
        <f t="shared" si="2"/>
        <v>23</v>
      </c>
      <c r="L17" s="32">
        <f t="shared" si="3"/>
        <v>0.19700000000000001</v>
      </c>
    </row>
    <row r="18" spans="1:12" x14ac:dyDescent="0.25">
      <c r="A18" s="71"/>
      <c r="B18" s="4" t="s">
        <v>25</v>
      </c>
      <c r="C18" s="38" t="s">
        <v>26</v>
      </c>
      <c r="D18" s="42">
        <v>1</v>
      </c>
      <c r="E18" s="42">
        <v>400</v>
      </c>
      <c r="F18" s="42">
        <v>64</v>
      </c>
      <c r="G18" s="49">
        <v>1</v>
      </c>
      <c r="H18" s="30">
        <v>5.0999999999999997E-2</v>
      </c>
      <c r="I18" s="47">
        <f t="shared" si="0"/>
        <v>400</v>
      </c>
      <c r="J18" s="33">
        <f t="shared" si="1"/>
        <v>64</v>
      </c>
      <c r="K18" s="33">
        <f t="shared" si="2"/>
        <v>1</v>
      </c>
      <c r="L18" s="32">
        <f t="shared" si="3"/>
        <v>5.0999999999999997E-2</v>
      </c>
    </row>
    <row r="19" spans="1:12" x14ac:dyDescent="0.25">
      <c r="A19" s="72"/>
      <c r="B19" s="4" t="s">
        <v>101</v>
      </c>
      <c r="C19" s="38"/>
      <c r="D19" s="42">
        <v>1</v>
      </c>
      <c r="E19" s="42">
        <v>185</v>
      </c>
      <c r="F19" s="42">
        <v>16</v>
      </c>
      <c r="G19" s="49">
        <v>0</v>
      </c>
      <c r="H19" s="30">
        <v>7.0000000000000001E-3</v>
      </c>
      <c r="I19" s="47">
        <f t="shared" si="0"/>
        <v>185</v>
      </c>
      <c r="J19" s="33">
        <f t="shared" si="1"/>
        <v>16</v>
      </c>
      <c r="K19" s="33">
        <f t="shared" si="2"/>
        <v>0</v>
      </c>
      <c r="L19" s="32">
        <f t="shared" si="3"/>
        <v>7.0000000000000001E-3</v>
      </c>
    </row>
    <row r="20" spans="1:12" ht="15" customHeight="1" x14ac:dyDescent="0.25">
      <c r="A20" s="66" t="s">
        <v>27</v>
      </c>
      <c r="B20" s="4" t="s">
        <v>28</v>
      </c>
      <c r="C20" s="38" t="s">
        <v>29</v>
      </c>
      <c r="D20" s="42">
        <v>1</v>
      </c>
      <c r="E20" s="42">
        <v>3277</v>
      </c>
      <c r="F20" s="42">
        <v>36</v>
      </c>
      <c r="G20" s="49">
        <v>24</v>
      </c>
      <c r="H20" s="30">
        <v>0.21299999999999999</v>
      </c>
      <c r="I20" s="47">
        <f t="shared" si="0"/>
        <v>3277</v>
      </c>
      <c r="J20" s="33">
        <f t="shared" si="1"/>
        <v>36</v>
      </c>
      <c r="K20" s="33">
        <f t="shared" si="2"/>
        <v>24</v>
      </c>
      <c r="L20" s="32">
        <f t="shared" si="3"/>
        <v>0.21299999999999999</v>
      </c>
    </row>
    <row r="21" spans="1:12" x14ac:dyDescent="0.25">
      <c r="A21" s="71"/>
      <c r="B21" s="4" t="s">
        <v>30</v>
      </c>
      <c r="C21" s="38" t="s">
        <v>31</v>
      </c>
      <c r="D21" s="42">
        <v>1</v>
      </c>
      <c r="E21" s="42">
        <v>666</v>
      </c>
      <c r="F21" s="42">
        <v>65</v>
      </c>
      <c r="G21" s="49">
        <v>2</v>
      </c>
      <c r="H21" s="30">
        <v>6.2E-2</v>
      </c>
      <c r="I21" s="47">
        <f t="shared" si="0"/>
        <v>666</v>
      </c>
      <c r="J21" s="33">
        <f t="shared" si="1"/>
        <v>65</v>
      </c>
      <c r="K21" s="33">
        <f t="shared" si="2"/>
        <v>2</v>
      </c>
      <c r="L21" s="32">
        <f t="shared" si="3"/>
        <v>6.2E-2</v>
      </c>
    </row>
    <row r="22" spans="1:12" x14ac:dyDescent="0.25">
      <c r="A22" s="72"/>
      <c r="B22" s="4" t="s">
        <v>101</v>
      </c>
      <c r="C22" s="38"/>
      <c r="D22" s="42">
        <v>1</v>
      </c>
      <c r="E22" s="42">
        <v>180</v>
      </c>
      <c r="F22" s="42">
        <v>16</v>
      </c>
      <c r="G22" s="49">
        <v>0</v>
      </c>
      <c r="H22" s="30">
        <v>7.0000000000000001E-3</v>
      </c>
      <c r="I22" s="47">
        <f t="shared" si="0"/>
        <v>180</v>
      </c>
      <c r="J22" s="33">
        <f t="shared" si="1"/>
        <v>16</v>
      </c>
      <c r="K22" s="33">
        <f t="shared" si="2"/>
        <v>0</v>
      </c>
      <c r="L22" s="32">
        <f t="shared" si="3"/>
        <v>7.0000000000000001E-3</v>
      </c>
    </row>
    <row r="23" spans="1:12" x14ac:dyDescent="0.25">
      <c r="A23" s="66" t="s">
        <v>32</v>
      </c>
      <c r="B23" s="4" t="s">
        <v>33</v>
      </c>
      <c r="C23" s="38" t="s">
        <v>34</v>
      </c>
      <c r="D23" s="42">
        <v>1</v>
      </c>
      <c r="E23" s="42">
        <v>610</v>
      </c>
      <c r="F23" s="42">
        <v>0</v>
      </c>
      <c r="G23" s="49">
        <v>6</v>
      </c>
      <c r="H23" s="30">
        <v>0.04</v>
      </c>
      <c r="I23" s="47">
        <f t="shared" si="0"/>
        <v>610</v>
      </c>
      <c r="J23" s="33">
        <f t="shared" si="1"/>
        <v>0</v>
      </c>
      <c r="K23" s="33">
        <f t="shared" si="2"/>
        <v>6</v>
      </c>
      <c r="L23" s="32">
        <f t="shared" si="3"/>
        <v>0.04</v>
      </c>
    </row>
    <row r="24" spans="1:12" x14ac:dyDescent="0.25">
      <c r="A24" s="66"/>
      <c r="B24" s="4" t="s">
        <v>35</v>
      </c>
      <c r="C24" s="38" t="s">
        <v>36</v>
      </c>
      <c r="D24" s="42">
        <v>1</v>
      </c>
      <c r="E24" s="42">
        <v>628</v>
      </c>
      <c r="F24" s="42">
        <v>1</v>
      </c>
      <c r="G24" s="49">
        <v>6</v>
      </c>
      <c r="H24" s="30">
        <v>4.1000000000000002E-2</v>
      </c>
      <c r="I24" s="47">
        <f t="shared" si="0"/>
        <v>628</v>
      </c>
      <c r="J24" s="33">
        <f t="shared" si="1"/>
        <v>1</v>
      </c>
      <c r="K24" s="33">
        <f t="shared" si="2"/>
        <v>6</v>
      </c>
      <c r="L24" s="32">
        <f t="shared" si="3"/>
        <v>4.1000000000000002E-2</v>
      </c>
    </row>
    <row r="25" spans="1:12" x14ac:dyDescent="0.25">
      <c r="A25" s="66" t="s">
        <v>98</v>
      </c>
      <c r="B25" s="4" t="s">
        <v>33</v>
      </c>
      <c r="C25" s="38" t="s">
        <v>100</v>
      </c>
      <c r="D25" s="42">
        <v>1</v>
      </c>
      <c r="E25" s="42">
        <v>839</v>
      </c>
      <c r="F25" s="42">
        <v>7</v>
      </c>
      <c r="G25" s="49">
        <v>1</v>
      </c>
      <c r="H25" s="30">
        <v>0.04</v>
      </c>
      <c r="I25" s="47">
        <f t="shared" si="0"/>
        <v>839</v>
      </c>
      <c r="J25" s="33">
        <f t="shared" si="1"/>
        <v>7</v>
      </c>
      <c r="K25" s="33">
        <f t="shared" si="2"/>
        <v>1</v>
      </c>
      <c r="L25" s="32">
        <f t="shared" si="3"/>
        <v>0.04</v>
      </c>
    </row>
    <row r="26" spans="1:12" x14ac:dyDescent="0.25">
      <c r="A26" s="72"/>
      <c r="B26" s="4" t="s">
        <v>35</v>
      </c>
      <c r="C26" s="38" t="s">
        <v>99</v>
      </c>
      <c r="D26" s="42">
        <v>1</v>
      </c>
      <c r="E26" s="42">
        <v>853</v>
      </c>
      <c r="F26" s="42">
        <v>7</v>
      </c>
      <c r="G26" s="49">
        <v>1</v>
      </c>
      <c r="H26" s="30">
        <v>4.1000000000000002E-2</v>
      </c>
      <c r="I26" s="47">
        <f t="shared" si="0"/>
        <v>853</v>
      </c>
      <c r="J26" s="33">
        <f t="shared" si="1"/>
        <v>7</v>
      </c>
      <c r="K26" s="33">
        <f t="shared" si="2"/>
        <v>1</v>
      </c>
      <c r="L26" s="32">
        <f t="shared" si="3"/>
        <v>4.1000000000000002E-2</v>
      </c>
    </row>
    <row r="27" spans="1:12" x14ac:dyDescent="0.25">
      <c r="A27" s="67" t="s">
        <v>37</v>
      </c>
      <c r="B27" s="5" t="s">
        <v>37</v>
      </c>
      <c r="C27" s="39" t="s">
        <v>38</v>
      </c>
      <c r="D27" s="42">
        <v>1</v>
      </c>
      <c r="E27" s="42">
        <f>706+828</f>
        <v>1534</v>
      </c>
      <c r="F27" s="42">
        <v>240</v>
      </c>
      <c r="G27" s="49">
        <v>6</v>
      </c>
      <c r="H27" s="30">
        <v>0.17899999999999999</v>
      </c>
      <c r="I27" s="47">
        <f t="shared" si="0"/>
        <v>1534</v>
      </c>
      <c r="J27" s="33">
        <f t="shared" si="1"/>
        <v>240</v>
      </c>
      <c r="K27" s="33">
        <f t="shared" si="2"/>
        <v>6</v>
      </c>
      <c r="L27" s="32">
        <f t="shared" si="3"/>
        <v>0.17899999999999999</v>
      </c>
    </row>
    <row r="28" spans="1:12" x14ac:dyDescent="0.25">
      <c r="A28" s="67"/>
      <c r="B28" s="4" t="s">
        <v>37</v>
      </c>
      <c r="C28" s="38" t="s">
        <v>39</v>
      </c>
      <c r="D28" s="42">
        <v>1</v>
      </c>
      <c r="E28" s="42">
        <v>4573</v>
      </c>
      <c r="F28" s="42">
        <v>42</v>
      </c>
      <c r="G28" s="49">
        <v>27</v>
      </c>
      <c r="H28" s="30">
        <v>0.27900000000000003</v>
      </c>
      <c r="I28" s="47">
        <f t="shared" si="0"/>
        <v>4573</v>
      </c>
      <c r="J28" s="33">
        <f t="shared" si="1"/>
        <v>42</v>
      </c>
      <c r="K28" s="33">
        <f t="shared" si="2"/>
        <v>27</v>
      </c>
      <c r="L28" s="32">
        <f t="shared" si="3"/>
        <v>0.27900000000000003</v>
      </c>
    </row>
    <row r="29" spans="1:12" x14ac:dyDescent="0.25">
      <c r="A29" s="68" t="s">
        <v>43</v>
      </c>
      <c r="B29" s="35" t="s">
        <v>66</v>
      </c>
      <c r="C29" s="40" t="s">
        <v>65</v>
      </c>
      <c r="D29" s="42">
        <v>1</v>
      </c>
      <c r="E29" s="42">
        <v>1158</v>
      </c>
      <c r="F29" s="42">
        <v>12</v>
      </c>
      <c r="G29" s="49">
        <v>12</v>
      </c>
      <c r="H29" s="30">
        <v>8.2000000000000003E-2</v>
      </c>
      <c r="I29" s="47">
        <f t="shared" si="0"/>
        <v>1158</v>
      </c>
      <c r="J29" s="33">
        <f t="shared" si="1"/>
        <v>12</v>
      </c>
      <c r="K29" s="33">
        <f t="shared" si="2"/>
        <v>12</v>
      </c>
      <c r="L29" s="32">
        <f t="shared" si="3"/>
        <v>8.2000000000000003E-2</v>
      </c>
    </row>
    <row r="30" spans="1:12" x14ac:dyDescent="0.25">
      <c r="A30" s="68"/>
      <c r="B30" s="35" t="s">
        <v>67</v>
      </c>
      <c r="C30" s="40" t="s">
        <v>102</v>
      </c>
      <c r="D30" s="42">
        <v>1</v>
      </c>
      <c r="E30" s="42">
        <v>4779</v>
      </c>
      <c r="F30" s="42">
        <v>2</v>
      </c>
      <c r="G30" s="49">
        <v>66</v>
      </c>
      <c r="H30" s="30">
        <v>0.253</v>
      </c>
      <c r="I30" s="47">
        <f t="shared" si="0"/>
        <v>4779</v>
      </c>
      <c r="J30" s="33">
        <f t="shared" si="1"/>
        <v>2</v>
      </c>
      <c r="K30" s="33">
        <f t="shared" si="2"/>
        <v>66</v>
      </c>
      <c r="L30" s="32">
        <f t="shared" si="3"/>
        <v>0.253</v>
      </c>
    </row>
    <row r="31" spans="1:12" x14ac:dyDescent="0.25">
      <c r="A31" s="68"/>
      <c r="B31" s="35" t="s">
        <v>78</v>
      </c>
      <c r="C31" s="40" t="s">
        <v>76</v>
      </c>
      <c r="D31" s="42">
        <v>1</v>
      </c>
      <c r="E31" s="42">
        <v>1216</v>
      </c>
      <c r="F31" s="42">
        <v>0</v>
      </c>
      <c r="G31" s="49">
        <v>18</v>
      </c>
      <c r="H31" s="30">
        <v>6.2E-2</v>
      </c>
      <c r="I31" s="47">
        <f t="shared" si="0"/>
        <v>1216</v>
      </c>
      <c r="J31" s="33">
        <f t="shared" si="1"/>
        <v>0</v>
      </c>
      <c r="K31" s="33">
        <f t="shared" si="2"/>
        <v>18</v>
      </c>
      <c r="L31" s="32">
        <f t="shared" si="3"/>
        <v>6.2E-2</v>
      </c>
    </row>
    <row r="32" spans="1:12" x14ac:dyDescent="0.25">
      <c r="A32" s="68"/>
      <c r="B32" s="35" t="s">
        <v>79</v>
      </c>
      <c r="C32" s="40" t="s">
        <v>77</v>
      </c>
      <c r="D32" s="42">
        <v>1</v>
      </c>
      <c r="E32" s="42">
        <v>551</v>
      </c>
      <c r="F32" s="42">
        <v>0</v>
      </c>
      <c r="G32" s="49">
        <v>12</v>
      </c>
      <c r="H32" s="30">
        <v>3.6999999999999998E-2</v>
      </c>
      <c r="I32" s="47">
        <f t="shared" si="0"/>
        <v>551</v>
      </c>
      <c r="J32" s="33">
        <f t="shared" si="1"/>
        <v>0</v>
      </c>
      <c r="K32" s="33">
        <f t="shared" si="2"/>
        <v>12</v>
      </c>
      <c r="L32" s="32">
        <f t="shared" si="3"/>
        <v>3.6999999999999998E-2</v>
      </c>
    </row>
    <row r="33" spans="1:12" x14ac:dyDescent="0.25">
      <c r="A33" s="68"/>
      <c r="B33" s="35" t="s">
        <v>68</v>
      </c>
      <c r="C33" s="40" t="s">
        <v>64</v>
      </c>
      <c r="D33" s="42">
        <v>1</v>
      </c>
      <c r="E33" s="42">
        <v>1015</v>
      </c>
      <c r="F33" s="42">
        <v>4</v>
      </c>
      <c r="G33" s="49">
        <v>84</v>
      </c>
      <c r="H33" s="30">
        <v>0.14699999999999999</v>
      </c>
      <c r="I33" s="47">
        <f t="shared" si="0"/>
        <v>1015</v>
      </c>
      <c r="J33" s="33">
        <f t="shared" si="1"/>
        <v>4</v>
      </c>
      <c r="K33" s="33">
        <f t="shared" si="2"/>
        <v>84</v>
      </c>
      <c r="L33" s="32">
        <f t="shared" si="3"/>
        <v>0.14699999999999999</v>
      </c>
    </row>
    <row r="34" spans="1:12" x14ac:dyDescent="0.25">
      <c r="A34" s="68"/>
      <c r="B34" s="35" t="s">
        <v>69</v>
      </c>
      <c r="C34" s="40" t="s">
        <v>65</v>
      </c>
      <c r="D34" s="44">
        <v>1</v>
      </c>
      <c r="E34" s="42">
        <v>1386</v>
      </c>
      <c r="F34" s="42">
        <v>12</v>
      </c>
      <c r="G34" s="49">
        <v>20</v>
      </c>
      <c r="H34" s="30">
        <v>0.11700000000000001</v>
      </c>
      <c r="I34" s="47">
        <f t="shared" si="0"/>
        <v>1386</v>
      </c>
      <c r="J34" s="33">
        <f t="shared" si="1"/>
        <v>12</v>
      </c>
      <c r="K34" s="33">
        <f t="shared" si="2"/>
        <v>20</v>
      </c>
      <c r="L34" s="32">
        <f t="shared" si="3"/>
        <v>0.11700000000000001</v>
      </c>
    </row>
    <row r="35" spans="1:12" x14ac:dyDescent="0.25">
      <c r="A35" s="68"/>
      <c r="B35" s="35" t="s">
        <v>70</v>
      </c>
      <c r="C35" s="40" t="s">
        <v>84</v>
      </c>
      <c r="D35" s="42">
        <v>1</v>
      </c>
      <c r="E35" s="42">
        <v>12801</v>
      </c>
      <c r="F35" s="42">
        <v>3</v>
      </c>
      <c r="G35" s="49">
        <v>156</v>
      </c>
      <c r="H35" s="30">
        <v>0.96799999999999997</v>
      </c>
      <c r="I35" s="47">
        <f t="shared" si="0"/>
        <v>12801</v>
      </c>
      <c r="J35" s="33">
        <f t="shared" si="1"/>
        <v>3</v>
      </c>
      <c r="K35" s="33">
        <f t="shared" si="2"/>
        <v>156</v>
      </c>
      <c r="L35" s="32">
        <f t="shared" si="3"/>
        <v>0.96799999999999997</v>
      </c>
    </row>
    <row r="36" spans="1:12" x14ac:dyDescent="0.25">
      <c r="A36" s="68"/>
      <c r="B36" s="35" t="s">
        <v>80</v>
      </c>
      <c r="C36" s="40" t="s">
        <v>82</v>
      </c>
      <c r="D36" s="42">
        <v>1</v>
      </c>
      <c r="E36" s="42">
        <v>1102</v>
      </c>
      <c r="F36" s="42">
        <v>4</v>
      </c>
      <c r="G36" s="49">
        <v>20</v>
      </c>
      <c r="H36" s="30">
        <v>7.1999999999999995E-2</v>
      </c>
      <c r="I36" s="47">
        <f t="shared" si="0"/>
        <v>1102</v>
      </c>
      <c r="J36" s="33">
        <f t="shared" si="1"/>
        <v>4</v>
      </c>
      <c r="K36" s="33">
        <f t="shared" si="2"/>
        <v>20</v>
      </c>
      <c r="L36" s="32">
        <f t="shared" si="3"/>
        <v>7.1999999999999995E-2</v>
      </c>
    </row>
    <row r="37" spans="1:12" x14ac:dyDescent="0.25">
      <c r="A37" s="68"/>
      <c r="B37" s="35" t="s">
        <v>81</v>
      </c>
      <c r="C37" s="40" t="s">
        <v>83</v>
      </c>
      <c r="D37" s="42">
        <v>1</v>
      </c>
      <c r="E37" s="42">
        <v>996</v>
      </c>
      <c r="F37" s="42">
        <v>0</v>
      </c>
      <c r="G37" s="49">
        <v>16</v>
      </c>
      <c r="H37" s="30">
        <v>5.5E-2</v>
      </c>
      <c r="I37" s="47">
        <f t="shared" si="0"/>
        <v>996</v>
      </c>
      <c r="J37" s="33">
        <f t="shared" si="1"/>
        <v>0</v>
      </c>
      <c r="K37" s="33">
        <f t="shared" si="2"/>
        <v>16</v>
      </c>
      <c r="L37" s="32">
        <f t="shared" si="3"/>
        <v>5.5E-2</v>
      </c>
    </row>
    <row r="38" spans="1:12" x14ac:dyDescent="0.25">
      <c r="A38" s="68"/>
      <c r="B38" s="35" t="s">
        <v>71</v>
      </c>
      <c r="C38" s="40" t="s">
        <v>72</v>
      </c>
      <c r="D38" s="42">
        <v>1</v>
      </c>
      <c r="E38" s="42">
        <v>1170</v>
      </c>
      <c r="F38" s="42">
        <v>8</v>
      </c>
      <c r="G38" s="49">
        <v>92</v>
      </c>
      <c r="H38" s="30">
        <v>0.159</v>
      </c>
      <c r="I38" s="47">
        <f t="shared" si="0"/>
        <v>1170</v>
      </c>
      <c r="J38" s="33">
        <f t="shared" si="1"/>
        <v>8</v>
      </c>
      <c r="K38" s="33">
        <f t="shared" si="2"/>
        <v>92</v>
      </c>
      <c r="L38" s="32">
        <f t="shared" si="3"/>
        <v>0.159</v>
      </c>
    </row>
    <row r="39" spans="1:12" x14ac:dyDescent="0.25">
      <c r="A39" s="64"/>
      <c r="B39" s="16" t="s">
        <v>44</v>
      </c>
      <c r="C39" s="36"/>
      <c r="D39" s="42">
        <v>1</v>
      </c>
      <c r="E39" s="42">
        <v>32</v>
      </c>
      <c r="F39" s="42">
        <v>0</v>
      </c>
      <c r="G39" s="49">
        <v>0</v>
      </c>
      <c r="H39" s="30">
        <v>2.5859999999999999</v>
      </c>
      <c r="I39" s="47">
        <f t="shared" si="0"/>
        <v>32</v>
      </c>
      <c r="J39" s="33">
        <f t="shared" si="1"/>
        <v>0</v>
      </c>
      <c r="K39" s="33">
        <f t="shared" si="2"/>
        <v>0</v>
      </c>
      <c r="L39" s="32">
        <f t="shared" si="3"/>
        <v>2.5859999999999999</v>
      </c>
    </row>
    <row r="40" spans="1:12" x14ac:dyDescent="0.25">
      <c r="A40" s="64"/>
      <c r="B40" s="17" t="s">
        <v>45</v>
      </c>
      <c r="C40" s="34" t="s">
        <v>93</v>
      </c>
      <c r="D40" s="42">
        <v>1</v>
      </c>
      <c r="E40" s="42">
        <f>261+11490+4992+4512+47+43</f>
        <v>21345</v>
      </c>
      <c r="F40" s="42">
        <f>128+48+24</f>
        <v>200</v>
      </c>
      <c r="G40" s="49">
        <v>0</v>
      </c>
      <c r="H40" s="30">
        <f>0.097+0.041+0.063</f>
        <v>0.20100000000000001</v>
      </c>
      <c r="I40" s="47">
        <f t="shared" si="0"/>
        <v>21345</v>
      </c>
      <c r="J40" s="33">
        <f t="shared" si="1"/>
        <v>200</v>
      </c>
      <c r="K40" s="33">
        <f t="shared" si="2"/>
        <v>0</v>
      </c>
      <c r="L40" s="32">
        <f t="shared" si="3"/>
        <v>0.20100000000000001</v>
      </c>
    </row>
    <row r="41" spans="1:12" x14ac:dyDescent="0.25">
      <c r="A41" s="64"/>
      <c r="B41" s="17" t="s">
        <v>62</v>
      </c>
      <c r="C41" s="28" t="s">
        <v>108</v>
      </c>
      <c r="D41" s="42">
        <v>1</v>
      </c>
      <c r="E41" s="42">
        <v>2206</v>
      </c>
      <c r="F41" s="42">
        <v>76</v>
      </c>
      <c r="G41" s="49">
        <v>0</v>
      </c>
      <c r="H41" s="30">
        <v>5.3999999999999999E-2</v>
      </c>
      <c r="I41" s="47">
        <f t="shared" si="0"/>
        <v>2206</v>
      </c>
      <c r="J41" s="33">
        <f t="shared" si="1"/>
        <v>76</v>
      </c>
      <c r="K41" s="33">
        <f t="shared" si="2"/>
        <v>0</v>
      </c>
      <c r="L41" s="32">
        <f t="shared" si="3"/>
        <v>5.3999999999999999E-2</v>
      </c>
    </row>
    <row r="42" spans="1:12" x14ac:dyDescent="0.25">
      <c r="A42" s="64"/>
      <c r="B42" s="17" t="s">
        <v>110</v>
      </c>
      <c r="C42" s="28"/>
      <c r="D42" s="42">
        <v>1</v>
      </c>
      <c r="E42" s="42">
        <f>396+365</f>
        <v>761</v>
      </c>
      <c r="F42" s="42">
        <f>26+13</f>
        <v>39</v>
      </c>
      <c r="G42" s="49">
        <v>0</v>
      </c>
      <c r="H42" s="30">
        <f>0.03+0.016</f>
        <v>4.5999999999999999E-2</v>
      </c>
      <c r="I42" s="47">
        <f t="shared" si="0"/>
        <v>761</v>
      </c>
      <c r="J42" s="33">
        <f t="shared" si="1"/>
        <v>39</v>
      </c>
      <c r="K42" s="33">
        <f t="shared" si="2"/>
        <v>0</v>
      </c>
      <c r="L42" s="32">
        <f t="shared" si="3"/>
        <v>4.5999999999999999E-2</v>
      </c>
    </row>
    <row r="43" spans="1:12" x14ac:dyDescent="0.25">
      <c r="A43" s="64"/>
      <c r="B43" s="17" t="s">
        <v>63</v>
      </c>
      <c r="C43" s="28"/>
      <c r="D43" s="42">
        <v>1</v>
      </c>
      <c r="E43" s="42">
        <v>2</v>
      </c>
      <c r="F43" s="42">
        <v>0</v>
      </c>
      <c r="G43" s="49">
        <v>0</v>
      </c>
      <c r="H43" s="30">
        <v>0.75800000000000001</v>
      </c>
      <c r="I43" s="47">
        <f t="shared" si="0"/>
        <v>2</v>
      </c>
      <c r="J43" s="33">
        <f t="shared" si="1"/>
        <v>0</v>
      </c>
      <c r="K43" s="33">
        <f t="shared" si="2"/>
        <v>0</v>
      </c>
      <c r="L43" s="32">
        <f t="shared" si="3"/>
        <v>0.75800000000000001</v>
      </c>
    </row>
    <row r="44" spans="1:12" x14ac:dyDescent="0.25">
      <c r="A44" s="22"/>
      <c r="B44" s="17" t="s">
        <v>90</v>
      </c>
      <c r="C44" s="28" t="s">
        <v>109</v>
      </c>
      <c r="D44" s="42">
        <v>1</v>
      </c>
      <c r="E44" s="42">
        <v>0</v>
      </c>
      <c r="F44" s="42">
        <v>0</v>
      </c>
      <c r="G44" s="49">
        <v>0</v>
      </c>
      <c r="H44" s="30">
        <f>8.995-SUM(H10:H41,H3,H6,H7)</f>
        <v>0.30699999999999861</v>
      </c>
      <c r="I44" s="47">
        <f t="shared" si="0"/>
        <v>0</v>
      </c>
      <c r="J44" s="33">
        <f t="shared" si="1"/>
        <v>0</v>
      </c>
      <c r="K44" s="33">
        <f t="shared" si="2"/>
        <v>0</v>
      </c>
      <c r="L44" s="32">
        <f t="shared" si="3"/>
        <v>0.30699999999999861</v>
      </c>
    </row>
    <row r="45" spans="1:12" x14ac:dyDescent="0.25">
      <c r="A45" s="22"/>
      <c r="B45" s="17" t="s">
        <v>91</v>
      </c>
      <c r="C45" s="28"/>
      <c r="D45" s="42">
        <v>1</v>
      </c>
      <c r="E45" s="42">
        <v>0</v>
      </c>
      <c r="F45" s="42">
        <v>0</v>
      </c>
      <c r="G45" s="49">
        <v>0</v>
      </c>
      <c r="H45" s="30">
        <v>4.5110000000000001</v>
      </c>
      <c r="I45" s="47">
        <f t="shared" si="0"/>
        <v>0</v>
      </c>
      <c r="J45" s="33">
        <f t="shared" si="1"/>
        <v>0</v>
      </c>
      <c r="K45" s="33">
        <f t="shared" si="2"/>
        <v>0</v>
      </c>
      <c r="L45" s="32">
        <f t="shared" si="3"/>
        <v>4.5110000000000001</v>
      </c>
    </row>
    <row r="46" spans="1:12" x14ac:dyDescent="0.25">
      <c r="A46" s="23"/>
      <c r="B46" s="17" t="s">
        <v>85</v>
      </c>
      <c r="C46" s="28" t="s">
        <v>103</v>
      </c>
      <c r="D46" s="42">
        <v>1</v>
      </c>
      <c r="E46" s="42">
        <f>175472-SUM(E3:E45)</f>
        <v>5281</v>
      </c>
      <c r="F46" s="42">
        <v>2</v>
      </c>
      <c r="G46" s="49">
        <v>0</v>
      </c>
      <c r="H46" s="30">
        <f>20.835-SUM(H3:H45)</f>
        <v>0.75900000000000389</v>
      </c>
      <c r="I46" s="47">
        <f t="shared" si="0"/>
        <v>5281</v>
      </c>
      <c r="J46" s="33">
        <f t="shared" si="1"/>
        <v>2</v>
      </c>
      <c r="K46" s="33">
        <f t="shared" si="2"/>
        <v>0</v>
      </c>
      <c r="L46" s="32">
        <f t="shared" si="3"/>
        <v>0.75900000000000389</v>
      </c>
    </row>
    <row r="47" spans="1:12" x14ac:dyDescent="0.25">
      <c r="A47" s="6" t="s">
        <v>54</v>
      </c>
      <c r="B47" s="7"/>
      <c r="C47" s="7"/>
      <c r="D47" s="45">
        <f t="shared" ref="D47:J47" si="4">SUM(D3:D46)</f>
        <v>44</v>
      </c>
      <c r="E47" s="45">
        <f t="shared" si="4"/>
        <v>175472</v>
      </c>
      <c r="F47" s="45">
        <f t="shared" si="4"/>
        <v>1783</v>
      </c>
      <c r="G47" s="50">
        <f t="shared" si="4"/>
        <v>609</v>
      </c>
      <c r="H47" s="31">
        <f t="shared" si="4"/>
        <v>20.835000000000001</v>
      </c>
      <c r="I47" s="48">
        <f t="shared" si="4"/>
        <v>175472</v>
      </c>
      <c r="J47" s="48">
        <f t="shared" si="4"/>
        <v>1783</v>
      </c>
      <c r="K47" s="48">
        <f>SUM(K3:K43)</f>
        <v>609</v>
      </c>
      <c r="L47" s="51">
        <f>SUM(L3:L46)</f>
        <v>20.835000000000001</v>
      </c>
    </row>
    <row r="48" spans="1:12" ht="15.75" x14ac:dyDescent="0.25">
      <c r="A48" s="8" t="s">
        <v>46</v>
      </c>
      <c r="B48" s="9"/>
      <c r="C48" s="9"/>
      <c r="D48" s="10" t="s">
        <v>3</v>
      </c>
      <c r="E48" s="10" t="s">
        <v>4</v>
      </c>
      <c r="F48" s="10" t="s">
        <v>5</v>
      </c>
      <c r="G48" s="11" t="s">
        <v>6</v>
      </c>
      <c r="I48" s="10" t="s">
        <v>4</v>
      </c>
      <c r="J48" s="10" t="s">
        <v>5</v>
      </c>
      <c r="K48" s="11" t="s">
        <v>6</v>
      </c>
    </row>
    <row r="49" spans="1:12" hidden="1" x14ac:dyDescent="0.25">
      <c r="A49" s="27" t="s">
        <v>47</v>
      </c>
      <c r="B49" s="12"/>
      <c r="C49" s="12"/>
      <c r="D49" s="46" t="s">
        <v>42</v>
      </c>
      <c r="E49" s="13">
        <f>I47/Q7</f>
        <v>0.6769753086419753</v>
      </c>
      <c r="F49" s="13">
        <f>J47/R7</f>
        <v>0.47020042194092826</v>
      </c>
      <c r="G49" s="14">
        <f>K47/S7</f>
        <v>0.2652439024390244</v>
      </c>
      <c r="I49" s="13" t="e">
        <f>M47/U7</f>
        <v>#DIV/0!</v>
      </c>
      <c r="J49" s="13" t="e">
        <f>N47/V7</f>
        <v>#DIV/0!</v>
      </c>
      <c r="K49" s="14" t="e">
        <f>O47/W7</f>
        <v>#DIV/0!</v>
      </c>
    </row>
    <row r="50" spans="1:12" x14ac:dyDescent="0.25">
      <c r="A50" s="26" t="s">
        <v>55</v>
      </c>
      <c r="B50" s="12"/>
      <c r="C50" s="12"/>
      <c r="D50" s="46" t="s">
        <v>42</v>
      </c>
      <c r="E50" s="13">
        <f>I47/Q8</f>
        <v>0.19223488168273445</v>
      </c>
      <c r="F50" s="13">
        <f>J47/R8</f>
        <v>0.13434297769740808</v>
      </c>
      <c r="G50" s="13">
        <f>K47/S8</f>
        <v>7.1411819887429645E-2</v>
      </c>
      <c r="I50" s="13">
        <f>I47/Q8</f>
        <v>0.19223488168273445</v>
      </c>
      <c r="J50" s="13">
        <f>J47/R8</f>
        <v>0.13434297769740808</v>
      </c>
      <c r="K50" s="13">
        <f>K47/S8</f>
        <v>7.1411819887429645E-2</v>
      </c>
    </row>
    <row r="52" spans="1:12" x14ac:dyDescent="0.25">
      <c r="C52" s="21" t="s">
        <v>53</v>
      </c>
      <c r="D52" s="60" t="s">
        <v>48</v>
      </c>
      <c r="E52" s="60"/>
      <c r="F52" s="60"/>
      <c r="G52" s="60"/>
      <c r="H52" s="60"/>
      <c r="I52" s="29"/>
      <c r="J52" s="29"/>
      <c r="K52" s="29"/>
      <c r="L52" s="29"/>
    </row>
    <row r="53" spans="1:12" x14ac:dyDescent="0.25">
      <c r="F53" s="19" t="s">
        <v>49</v>
      </c>
      <c r="G53" s="20">
        <v>0.17</v>
      </c>
    </row>
    <row r="54" spans="1:12" x14ac:dyDescent="0.25">
      <c r="F54" s="61" t="s">
        <v>50</v>
      </c>
      <c r="G54" s="62" t="s">
        <v>51</v>
      </c>
    </row>
    <row r="55" spans="1:12" x14ac:dyDescent="0.25">
      <c r="F55" s="61"/>
      <c r="G55" s="63"/>
    </row>
  </sheetData>
  <mergeCells count="17">
    <mergeCell ref="A39:A43"/>
    <mergeCell ref="A3:A5"/>
    <mergeCell ref="A23:A24"/>
    <mergeCell ref="A27:A28"/>
    <mergeCell ref="A29:A38"/>
    <mergeCell ref="A15:A16"/>
    <mergeCell ref="A17:A19"/>
    <mergeCell ref="A25:A26"/>
    <mergeCell ref="A20:A22"/>
    <mergeCell ref="A6:A8"/>
    <mergeCell ref="A9:A14"/>
    <mergeCell ref="E1:H1"/>
    <mergeCell ref="I1:L1"/>
    <mergeCell ref="B3:B4"/>
    <mergeCell ref="D52:H52"/>
    <mergeCell ref="F54:F55"/>
    <mergeCell ref="G54:G55"/>
  </mergeCells>
  <conditionalFormatting sqref="E49:G50">
    <cfRule type="cellIs" dxfId="3" priority="3" operator="greaterThan">
      <formula>1</formula>
    </cfRule>
    <cfRule type="expression" dxfId="2" priority="4">
      <formula>"&gt; 100%"</formula>
    </cfRule>
  </conditionalFormatting>
  <conditionalFormatting sqref="I49:K50">
    <cfRule type="cellIs" dxfId="1" priority="1" operator="greaterThan">
      <formula>1</formula>
    </cfRule>
    <cfRule type="expression" dxfId="0" priority="2">
      <formula>"&gt; 100%"</formula>
    </cfRule>
  </conditionalFormatting>
  <pageMargins left="0.7" right="0.7" top="0.75" bottom="0.75" header="0.3" footer="0.3"/>
  <ignoredErrors>
    <ignoredError sqref="K47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2EF189E653C449E6CA9D37DBEAB2D" ma:contentTypeVersion="8" ma:contentTypeDescription="Create a new document." ma:contentTypeScope="" ma:versionID="1f3c0ab2433ce0bd9ff3a28cf806c88d">
  <xsd:schema xmlns:xsd="http://www.w3.org/2001/XMLSchema" xmlns:xs="http://www.w3.org/2001/XMLSchema" xmlns:p="http://schemas.microsoft.com/office/2006/metadata/properties" xmlns:ns2="c7003066-3942-40e7-97ad-7aad8f02991a" targetNamespace="http://schemas.microsoft.com/office/2006/metadata/properties" ma:root="true" ma:fieldsID="36463f8314b1e75e79768737f8528b0e" ns2:_="">
    <xsd:import namespace="c7003066-3942-40e7-97ad-7aad8f029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03066-3942-40e7-97ad-7aad8f0299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F98B71-8F69-46E6-90B8-999BD2E57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652BF3-5D49-489B-9CCC-A44BD0BCFCCB}"/>
</file>

<file path=customXml/itemProps3.xml><?xml version="1.0" encoding="utf-8"?>
<ds:datastoreItem xmlns:ds="http://schemas.openxmlformats.org/officeDocument/2006/customXml" ds:itemID="{63A23EAE-B186-48D3-B1C8-AE7FF72235A6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9142d736-3176-4e51-932f-bd9ab9887578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1CC_4T4R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boobathi.selvaraj@intel.com</dc:creator>
  <cp:keywords/>
  <dc:description/>
  <cp:lastModifiedBy>Preethika S</cp:lastModifiedBy>
  <cp:revision/>
  <dcterms:created xsi:type="dcterms:W3CDTF">2023-02-09T05:57:29Z</dcterms:created>
  <dcterms:modified xsi:type="dcterms:W3CDTF">2025-05-12T23:18:25Z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0x0101001B12EF189E653C449E6CA9D37DBEAB2D</vt:lpwstr>
  </property>
  <property fmtid="{D5CDD505-2E9C-101B-9397-08002B2CF9AE}" pid="3" name="MediaServiceImageTags">
    <vt:lpwstr/>
  </property>
  <property fmtid="{D5CDD505-2E9C-101B-9397-08002B2CF9AE}" pid="4" name="Order">
    <vt:r8>4440400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6a19be41-f3f8-4bff-a5cd-09153d43afda_Enabled">
    <vt:lpwstr>true</vt:lpwstr>
  </property>
  <property fmtid="{D5CDD505-2E9C-101B-9397-08002B2CF9AE}" pid="12" name="MSIP_Label_6a19be41-f3f8-4bff-a5cd-09153d43afda_SetDate">
    <vt:lpwstr>2025-01-10T15:59:25Z</vt:lpwstr>
  </property>
  <property fmtid="{D5CDD505-2E9C-101B-9397-08002B2CF9AE}" pid="13" name="MSIP_Label_6a19be41-f3f8-4bff-a5cd-09153d43afda_Method">
    <vt:lpwstr>Privileged</vt:lpwstr>
  </property>
  <property fmtid="{D5CDD505-2E9C-101B-9397-08002B2CF9AE}" pid="14" name="MSIP_Label_6a19be41-f3f8-4bff-a5cd-09153d43afda_Name">
    <vt:lpwstr>Internal</vt:lpwstr>
  </property>
  <property fmtid="{D5CDD505-2E9C-101B-9397-08002B2CF9AE}" pid="15" name="MSIP_Label_6a19be41-f3f8-4bff-a5cd-09153d43afda_SiteId">
    <vt:lpwstr>fbd72e03-d4a5-4110-adce-614d51f2077a</vt:lpwstr>
  </property>
  <property fmtid="{D5CDD505-2E9C-101B-9397-08002B2CF9AE}" pid="16" name="MSIP_Label_6a19be41-f3f8-4bff-a5cd-09153d43afda_ActionId">
    <vt:lpwstr>678b4d28-c522-43aa-a082-0bd8973f1559</vt:lpwstr>
  </property>
  <property fmtid="{D5CDD505-2E9C-101B-9397-08002B2CF9AE}" pid="17" name="MSIP_Label_6a19be41-f3f8-4bff-a5cd-09153d43afda_ContentBits">
    <vt:lpwstr>0</vt:lpwstr>
  </property>
</Properties>
</file>